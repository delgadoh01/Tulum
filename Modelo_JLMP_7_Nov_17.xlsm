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r. David Delgado\Downloads\"/>
    </mc:Choice>
  </mc:AlternateContent>
  <bookViews>
    <workbookView xWindow="0" yWindow="0" windowWidth="23040" windowHeight="9390" tabRatio="837" firstSheet="1" activeTab="1"/>
  </bookViews>
  <sheets>
    <sheet name="LISTA" sheetId="21" state="hidden" r:id="rId1"/>
    <sheet name="PORTADA" sheetId="36" r:id="rId2"/>
    <sheet name="TDPA" sheetId="31" state="hidden" r:id="rId3"/>
    <sheet name="MCI" sheetId="12" r:id="rId4"/>
    <sheet name="I. CIHH" sheetId="25" r:id="rId5"/>
    <sheet name="II. CIOP " sheetId="18" r:id="rId6"/>
    <sheet name="III. CIPRO" sheetId="26" r:id="rId7"/>
    <sheet name="IV. CIMA" sheetId="29" r:id="rId8"/>
    <sheet name="V. CIAX" sheetId="32" r:id="rId9"/>
    <sheet name="VI. CIMU" sheetId="33" r:id="rId10"/>
    <sheet name="VII. CIHER" sheetId="34" r:id="rId11"/>
    <sheet name="VIII. CIPEA" sheetId="35" r:id="rId12"/>
    <sheet name="T" sheetId="19" state="hidden" r:id="rId13"/>
  </sheets>
  <definedNames>
    <definedName name="_xlnm.Print_Area" localSheetId="4">'I. CIHH'!$B:$K</definedName>
    <definedName name="_xlnm.Print_Area" localSheetId="5">'II. CIOP '!$B:$P</definedName>
    <definedName name="_xlnm.Print_Area" localSheetId="6">'III. CIPRO'!$B:$K</definedName>
    <definedName name="_xlnm.Print_Area" localSheetId="7">'IV. CIMA'!$B:$K</definedName>
    <definedName name="_xlnm.Print_Area" localSheetId="3">MCI!$B:$I</definedName>
    <definedName name="_xlnm.Print_Area" localSheetId="1">PORTADA!$B:$I</definedName>
    <definedName name="_xlnm.Print_Area" localSheetId="8">'V. CIAX'!$A:$H</definedName>
    <definedName name="_xlnm.Print_Area" localSheetId="9">'VI. CIMU'!$A:$H</definedName>
    <definedName name="_xlnm.Print_Area" localSheetId="10">'VII. CIHER'!$A:$H</definedName>
    <definedName name="_xlnm.Print_Area" localSheetId="11">'VIII. CIPEA'!$B:$I</definedName>
  </definedNames>
  <calcPr calcId="152511"/>
</workbook>
</file>

<file path=xl/calcChain.xml><?xml version="1.0" encoding="utf-8"?>
<calcChain xmlns="http://schemas.openxmlformats.org/spreadsheetml/2006/main">
  <c r="G92" i="36" l="1"/>
  <c r="G93" i="36"/>
  <c r="G94" i="36"/>
  <c r="G95" i="36"/>
  <c r="G96" i="36"/>
  <c r="G97" i="36"/>
  <c r="G98" i="36"/>
  <c r="G99" i="36"/>
  <c r="G100" i="36"/>
  <c r="G101" i="36"/>
  <c r="G102" i="36"/>
  <c r="G103" i="36"/>
  <c r="G104" i="36"/>
  <c r="G105" i="36"/>
  <c r="G106" i="36"/>
  <c r="G107" i="36"/>
  <c r="G108" i="36"/>
  <c r="G109" i="36"/>
  <c r="G110" i="36"/>
  <c r="G111" i="36"/>
  <c r="G112" i="36"/>
  <c r="G113" i="36"/>
  <c r="G114" i="36"/>
  <c r="G115" i="36"/>
  <c r="G116" i="36"/>
  <c r="G117" i="36"/>
  <c r="G118" i="36"/>
  <c r="G119" i="36"/>
  <c r="G120" i="36"/>
  <c r="G121" i="36"/>
  <c r="G122" i="36"/>
  <c r="G123" i="36"/>
  <c r="G124" i="36"/>
  <c r="G125" i="36"/>
  <c r="G126" i="36"/>
  <c r="G127" i="36"/>
  <c r="G128" i="36"/>
  <c r="G129" i="36"/>
  <c r="G130" i="36"/>
  <c r="G131" i="36"/>
  <c r="G132" i="36"/>
  <c r="G133" i="36"/>
  <c r="G134" i="36"/>
  <c r="G135" i="36"/>
  <c r="G136" i="36"/>
  <c r="G137" i="36"/>
  <c r="G138" i="36"/>
  <c r="G139" i="36"/>
  <c r="G140" i="36"/>
  <c r="G141" i="36"/>
  <c r="G142" i="36"/>
  <c r="G143" i="36"/>
  <c r="G144" i="36"/>
  <c r="G145" i="36"/>
  <c r="G146" i="36"/>
  <c r="G147" i="36"/>
  <c r="G148" i="36"/>
  <c r="G149" i="36"/>
  <c r="G150" i="36"/>
  <c r="G151" i="36"/>
  <c r="G152" i="36"/>
  <c r="G153" i="36"/>
  <c r="G154" i="36"/>
  <c r="G155" i="36"/>
  <c r="G156" i="36"/>
  <c r="G157" i="36"/>
  <c r="G158" i="36"/>
  <c r="G159" i="36"/>
  <c r="G160" i="36"/>
  <c r="G161" i="36"/>
  <c r="G162" i="36"/>
  <c r="G163" i="36"/>
  <c r="G164" i="36"/>
  <c r="G165" i="36"/>
  <c r="G166" i="36"/>
  <c r="G167" i="36"/>
  <c r="G168" i="36"/>
  <c r="G169" i="36"/>
  <c r="G170" i="36"/>
  <c r="G171" i="36"/>
  <c r="G172" i="36"/>
  <c r="G173" i="36"/>
  <c r="G174" i="36"/>
  <c r="G175" i="36"/>
  <c r="G176" i="36"/>
  <c r="G177" i="36"/>
  <c r="G178" i="36"/>
  <c r="G179" i="36"/>
  <c r="G180" i="36"/>
  <c r="G181" i="36"/>
  <c r="G182" i="36"/>
  <c r="G183" i="36"/>
  <c r="G184" i="36"/>
  <c r="G185" i="36"/>
  <c r="G186" i="36"/>
  <c r="G187" i="36"/>
  <c r="G188" i="36"/>
  <c r="G189" i="36"/>
  <c r="G190" i="36"/>
  <c r="G191" i="36"/>
  <c r="G192" i="36"/>
  <c r="G193" i="36"/>
  <c r="G194" i="36"/>
  <c r="G195" i="36"/>
  <c r="G196" i="36"/>
  <c r="G197" i="36"/>
  <c r="G198" i="36"/>
  <c r="G199" i="36"/>
  <c r="G200" i="36"/>
  <c r="G201" i="36"/>
  <c r="G202" i="36"/>
  <c r="G203" i="36"/>
  <c r="G204" i="36"/>
  <c r="G205" i="36"/>
  <c r="G206" i="36"/>
  <c r="G207" i="36"/>
  <c r="G208" i="36"/>
  <c r="G209" i="36"/>
  <c r="G210" i="36"/>
  <c r="G211" i="36"/>
  <c r="G212" i="36"/>
  <c r="G213" i="36"/>
  <c r="G214" i="36"/>
  <c r="G215" i="36"/>
  <c r="G216" i="36"/>
  <c r="G217" i="36"/>
  <c r="G218" i="36"/>
  <c r="G219" i="36"/>
  <c r="G220" i="36"/>
  <c r="G221" i="36"/>
  <c r="G222" i="36"/>
  <c r="G223" i="36"/>
  <c r="G224" i="36"/>
  <c r="G225" i="36"/>
  <c r="G226" i="36"/>
  <c r="G227" i="36"/>
  <c r="G228" i="36"/>
  <c r="G229" i="36"/>
  <c r="G230" i="36"/>
  <c r="G231" i="36"/>
  <c r="G232" i="36"/>
  <c r="G233" i="36"/>
  <c r="G234" i="36"/>
  <c r="G235" i="36"/>
  <c r="G236" i="36"/>
  <c r="G237" i="36"/>
  <c r="G238" i="36"/>
  <c r="G239" i="36"/>
  <c r="G240" i="36"/>
  <c r="G241" i="36"/>
  <c r="G242" i="36"/>
  <c r="G243" i="36"/>
  <c r="G244" i="36"/>
  <c r="G245" i="36"/>
  <c r="G246" i="36"/>
  <c r="G247" i="36"/>
  <c r="G248" i="36"/>
  <c r="G249" i="36"/>
  <c r="G250" i="36"/>
  <c r="G251" i="36"/>
  <c r="G252" i="36"/>
  <c r="G253" i="36"/>
  <c r="G254" i="36"/>
  <c r="G255" i="36"/>
  <c r="G256" i="36"/>
  <c r="G257" i="36"/>
  <c r="G258" i="36"/>
  <c r="G259" i="36"/>
  <c r="G260" i="36"/>
  <c r="G261" i="36"/>
  <c r="G262" i="36"/>
  <c r="G263" i="36"/>
  <c r="G264" i="36"/>
  <c r="G265" i="36"/>
  <c r="G266" i="36"/>
  <c r="G267" i="36"/>
  <c r="G268" i="36"/>
  <c r="G269" i="36"/>
  <c r="G270" i="36"/>
  <c r="G271" i="36"/>
  <c r="G272" i="36"/>
  <c r="G273" i="36"/>
  <c r="G274" i="36"/>
  <c r="G275" i="36"/>
  <c r="G276" i="36"/>
  <c r="G277" i="36"/>
  <c r="G278" i="36"/>
  <c r="G279" i="36"/>
  <c r="G280" i="36"/>
  <c r="G281" i="36"/>
  <c r="G282" i="36"/>
  <c r="G283" i="36"/>
  <c r="G284" i="36"/>
  <c r="G285" i="36"/>
  <c r="G286" i="36"/>
  <c r="G287" i="36"/>
  <c r="G288" i="36"/>
  <c r="G289" i="36"/>
  <c r="G290" i="36"/>
  <c r="G291" i="36"/>
  <c r="G292" i="36"/>
  <c r="G293" i="36"/>
  <c r="G294" i="36"/>
  <c r="G295" i="36"/>
  <c r="G296" i="36"/>
  <c r="G297" i="36"/>
  <c r="G298" i="36"/>
  <c r="G299" i="36"/>
  <c r="G300" i="36"/>
  <c r="G301" i="36"/>
  <c r="G302" i="36"/>
  <c r="G303" i="36"/>
  <c r="G304" i="36"/>
  <c r="G305" i="36"/>
  <c r="G306" i="36"/>
  <c r="G307" i="36"/>
  <c r="G308" i="36"/>
  <c r="G309" i="36"/>
  <c r="G310" i="36"/>
  <c r="G311" i="36"/>
  <c r="G312" i="36"/>
  <c r="G313" i="36"/>
  <c r="G314" i="36"/>
  <c r="G315" i="36"/>
  <c r="G316" i="36"/>
  <c r="G317" i="36"/>
  <c r="G318" i="36"/>
  <c r="G319" i="36"/>
  <c r="G320" i="36"/>
  <c r="G321" i="36"/>
  <c r="G322" i="36"/>
  <c r="G323" i="36"/>
  <c r="G324" i="36"/>
  <c r="G325" i="36"/>
  <c r="G326" i="36"/>
  <c r="G327" i="36"/>
  <c r="G328" i="36"/>
  <c r="G329" i="36"/>
  <c r="G330" i="36"/>
  <c r="G331" i="36"/>
  <c r="G332" i="36"/>
  <c r="G333" i="36"/>
  <c r="G334" i="36"/>
  <c r="G335" i="36"/>
  <c r="G336" i="36"/>
  <c r="G337" i="36"/>
  <c r="G338" i="36"/>
  <c r="G339" i="36"/>
  <c r="G340" i="36"/>
  <c r="G341" i="36"/>
  <c r="G342" i="36"/>
  <c r="G343" i="36"/>
  <c r="G344" i="36"/>
  <c r="G345" i="36"/>
  <c r="G346" i="36"/>
  <c r="G347" i="36"/>
  <c r="G348" i="36"/>
  <c r="G349" i="36"/>
  <c r="G350" i="36"/>
  <c r="G351" i="36"/>
  <c r="G352" i="36"/>
  <c r="G353" i="36"/>
  <c r="G354" i="36"/>
  <c r="G355" i="36"/>
  <c r="G356" i="36"/>
  <c r="G357" i="36"/>
  <c r="G358" i="36"/>
  <c r="G359" i="36"/>
  <c r="G360" i="36"/>
  <c r="G361" i="36"/>
  <c r="G362" i="36"/>
  <c r="G363" i="36"/>
  <c r="G364" i="36"/>
  <c r="G365" i="36"/>
  <c r="G366" i="36"/>
  <c r="G367" i="36"/>
  <c r="G368" i="36"/>
  <c r="G369" i="36"/>
  <c r="G370" i="36"/>
  <c r="G371" i="36"/>
  <c r="G372" i="36"/>
  <c r="G373" i="36"/>
  <c r="G374" i="36"/>
  <c r="G375" i="36"/>
  <c r="G376" i="36"/>
  <c r="G377" i="36"/>
  <c r="G378" i="36"/>
  <c r="G379" i="36"/>
  <c r="G380" i="36"/>
  <c r="G381" i="36"/>
  <c r="G382" i="36"/>
  <c r="G383" i="36"/>
  <c r="G384" i="36"/>
  <c r="G385" i="36"/>
  <c r="G386" i="36"/>
  <c r="G387" i="36"/>
  <c r="G388" i="36"/>
  <c r="G389" i="36"/>
  <c r="G390" i="36"/>
  <c r="G391" i="36"/>
  <c r="G392" i="36"/>
  <c r="G393" i="36"/>
  <c r="G394" i="36"/>
  <c r="G395" i="36"/>
  <c r="G396" i="36"/>
  <c r="G397" i="36"/>
  <c r="G398" i="36"/>
  <c r="G399" i="36"/>
  <c r="G400" i="36"/>
  <c r="G401" i="36"/>
  <c r="G402" i="36"/>
  <c r="G403" i="36"/>
  <c r="G404" i="36"/>
  <c r="G405" i="36"/>
  <c r="G406" i="36"/>
  <c r="G407" i="36"/>
  <c r="G408" i="36"/>
  <c r="G409" i="36"/>
  <c r="G410" i="36"/>
  <c r="G411" i="36"/>
  <c r="G412" i="36"/>
  <c r="G413" i="36"/>
  <c r="G414" i="36"/>
  <c r="G415" i="36"/>
  <c r="G416" i="36"/>
  <c r="G417" i="36"/>
  <c r="G418" i="36"/>
  <c r="G419" i="36"/>
  <c r="G420" i="36"/>
  <c r="G421" i="36"/>
  <c r="G422" i="36"/>
  <c r="G423" i="36"/>
  <c r="G424" i="36"/>
  <c r="G425" i="36"/>
  <c r="G426" i="36"/>
  <c r="G427" i="36"/>
  <c r="G428" i="36"/>
  <c r="G429" i="36"/>
  <c r="G430" i="36"/>
  <c r="G431" i="36"/>
  <c r="G432" i="36"/>
  <c r="G433" i="36"/>
  <c r="G434" i="36"/>
  <c r="G435" i="36"/>
  <c r="G436" i="36"/>
  <c r="G437" i="36"/>
  <c r="G438" i="36"/>
  <c r="G439" i="36"/>
  <c r="G440" i="36"/>
  <c r="G441" i="36"/>
  <c r="G442" i="36"/>
  <c r="G443" i="36"/>
  <c r="G444" i="36"/>
  <c r="G445" i="36"/>
  <c r="G446" i="36"/>
  <c r="G447" i="36"/>
  <c r="G448" i="36"/>
  <c r="G449" i="36"/>
  <c r="G450" i="36"/>
  <c r="G451" i="36"/>
  <c r="G452" i="36"/>
  <c r="G453" i="36"/>
  <c r="G454" i="36"/>
  <c r="G455" i="36"/>
  <c r="G456" i="36"/>
  <c r="G457" i="36"/>
  <c r="G458" i="36"/>
  <c r="G459" i="36"/>
  <c r="G460" i="36"/>
  <c r="G461" i="36"/>
  <c r="G462" i="36"/>
  <c r="G463" i="36"/>
  <c r="G464" i="36"/>
  <c r="G465" i="36"/>
  <c r="G466" i="36"/>
  <c r="G467" i="36"/>
  <c r="G468" i="36"/>
  <c r="G469" i="36"/>
  <c r="G470" i="36"/>
  <c r="G471" i="36"/>
  <c r="G472" i="36"/>
  <c r="G473" i="36"/>
  <c r="G474" i="36"/>
  <c r="G475" i="36"/>
  <c r="G476" i="36"/>
  <c r="G477" i="36"/>
  <c r="G478" i="36"/>
  <c r="G479" i="36"/>
  <c r="G480" i="36"/>
  <c r="G481" i="36"/>
  <c r="G482" i="36"/>
  <c r="G483" i="36"/>
  <c r="G484" i="36"/>
  <c r="G485" i="36"/>
  <c r="G486" i="36"/>
  <c r="G487" i="36"/>
  <c r="G488" i="36"/>
  <c r="G489" i="36"/>
  <c r="G490" i="36"/>
  <c r="G491" i="36"/>
  <c r="G492" i="36"/>
  <c r="G493" i="36"/>
  <c r="G494" i="36"/>
  <c r="G495" i="36"/>
  <c r="G496" i="36"/>
  <c r="G497" i="36"/>
  <c r="G498" i="36"/>
  <c r="G499" i="36"/>
  <c r="G500" i="36"/>
  <c r="G501" i="36"/>
  <c r="G502" i="36"/>
  <c r="G503" i="36"/>
  <c r="G504" i="36"/>
  <c r="G505" i="36"/>
  <c r="G506" i="36"/>
  <c r="G507" i="36"/>
  <c r="G508" i="36"/>
  <c r="G509" i="36"/>
  <c r="G510" i="36"/>
  <c r="G511" i="36"/>
  <c r="G512" i="36"/>
  <c r="G513" i="36"/>
  <c r="G514" i="36"/>
  <c r="G515" i="36"/>
  <c r="G516" i="36"/>
  <c r="G517" i="36"/>
  <c r="G518" i="36"/>
  <c r="G519" i="36"/>
  <c r="G520" i="36"/>
  <c r="G521" i="36"/>
  <c r="G522" i="36"/>
  <c r="G523" i="36"/>
  <c r="G524" i="36"/>
  <c r="G525" i="36"/>
  <c r="G526" i="36"/>
  <c r="G527" i="36"/>
  <c r="G528" i="36"/>
  <c r="G529" i="36"/>
  <c r="G530" i="36"/>
  <c r="G531" i="36"/>
  <c r="G532" i="36"/>
  <c r="G533" i="36"/>
  <c r="G534" i="36"/>
  <c r="G535" i="36"/>
  <c r="G536" i="36"/>
  <c r="G537" i="36"/>
  <c r="G538" i="36"/>
  <c r="G539" i="36"/>
  <c r="G540" i="36"/>
  <c r="G541" i="36"/>
  <c r="G542" i="36"/>
  <c r="G543" i="36"/>
  <c r="G544" i="36"/>
  <c r="G545" i="36"/>
  <c r="G546" i="36"/>
  <c r="G547" i="36"/>
  <c r="G548" i="36"/>
  <c r="G549" i="36"/>
  <c r="G550" i="36"/>
  <c r="G551" i="36"/>
  <c r="G552" i="36"/>
  <c r="G553" i="36"/>
  <c r="G554" i="36"/>
  <c r="G555" i="36"/>
  <c r="G556" i="36"/>
  <c r="G557" i="36"/>
  <c r="G558" i="36"/>
  <c r="G559" i="36"/>
  <c r="G560" i="36"/>
  <c r="G561" i="36"/>
  <c r="G562" i="36"/>
  <c r="G563" i="36"/>
  <c r="G564" i="36"/>
  <c r="G565" i="36"/>
  <c r="G566" i="36"/>
  <c r="G567" i="36"/>
  <c r="G568" i="36"/>
  <c r="G569" i="36"/>
  <c r="G570" i="36"/>
  <c r="G571" i="36"/>
  <c r="G572" i="36"/>
  <c r="G573" i="36"/>
  <c r="G574" i="36"/>
  <c r="G575" i="36"/>
  <c r="G576" i="36"/>
  <c r="G577" i="36"/>
  <c r="G578" i="36"/>
  <c r="G579" i="36"/>
  <c r="G580" i="36"/>
  <c r="G581" i="36"/>
  <c r="G582" i="36"/>
  <c r="G583" i="36"/>
  <c r="G584" i="36"/>
  <c r="G585" i="36"/>
  <c r="G586" i="36"/>
  <c r="G587" i="36"/>
  <c r="G588" i="36"/>
  <c r="G589" i="36"/>
  <c r="G590" i="36"/>
  <c r="G591" i="36"/>
  <c r="G592" i="36"/>
  <c r="G593" i="36"/>
  <c r="G594" i="36"/>
  <c r="G595" i="36"/>
  <c r="G596" i="36"/>
  <c r="G597" i="36"/>
  <c r="G598" i="36"/>
  <c r="G599" i="36"/>
  <c r="G600" i="36"/>
  <c r="G601" i="36"/>
  <c r="G602" i="36"/>
  <c r="G603" i="36"/>
  <c r="G604" i="36"/>
  <c r="G605" i="36"/>
  <c r="G606" i="36"/>
  <c r="G607" i="36"/>
  <c r="G608" i="36"/>
  <c r="G609" i="36"/>
  <c r="G610" i="36"/>
  <c r="G611" i="36"/>
  <c r="G612" i="36"/>
  <c r="G613" i="36"/>
  <c r="G614" i="36"/>
  <c r="G615" i="36"/>
  <c r="G616" i="36"/>
  <c r="G617" i="36"/>
  <c r="G618" i="36"/>
  <c r="G619" i="36"/>
  <c r="G620" i="36"/>
  <c r="G621" i="36"/>
  <c r="G622" i="36"/>
  <c r="G623" i="36"/>
  <c r="G624" i="36"/>
  <c r="G625" i="36"/>
  <c r="G626" i="36"/>
  <c r="G627" i="36"/>
  <c r="G628" i="36"/>
  <c r="G629" i="36"/>
  <c r="G630" i="36"/>
  <c r="G631" i="36"/>
  <c r="G632" i="36"/>
  <c r="G633" i="36"/>
  <c r="G634" i="36"/>
  <c r="G635" i="36"/>
  <c r="G636" i="36"/>
  <c r="G637" i="36"/>
  <c r="G638" i="36"/>
  <c r="G639" i="36"/>
  <c r="G640" i="36"/>
  <c r="G641" i="36"/>
  <c r="G642" i="36"/>
  <c r="G643" i="36"/>
  <c r="G644" i="36"/>
  <c r="G645" i="36"/>
  <c r="G646" i="36"/>
  <c r="G647" i="36"/>
  <c r="G648" i="36"/>
  <c r="G649" i="36"/>
  <c r="G650" i="36"/>
  <c r="G651" i="36"/>
  <c r="G652" i="36"/>
  <c r="G653" i="36"/>
  <c r="G654" i="36"/>
  <c r="G655" i="36"/>
  <c r="G656" i="36"/>
  <c r="G657" i="36"/>
  <c r="G658" i="36"/>
  <c r="G659" i="36"/>
  <c r="G660" i="36"/>
  <c r="G661" i="36"/>
  <c r="G662" i="36"/>
  <c r="G663" i="36"/>
  <c r="G664" i="36"/>
  <c r="G665" i="36"/>
  <c r="G666" i="36"/>
  <c r="G667" i="36"/>
  <c r="G668" i="36"/>
  <c r="G669" i="36"/>
  <c r="G670" i="36"/>
  <c r="G671" i="36"/>
  <c r="G672" i="36"/>
  <c r="G673" i="36"/>
  <c r="G674" i="36"/>
  <c r="G675" i="36"/>
  <c r="G676" i="36"/>
  <c r="G677" i="36"/>
  <c r="G678" i="36"/>
  <c r="G679" i="36"/>
  <c r="G680" i="36"/>
  <c r="G681" i="36"/>
  <c r="G682" i="36"/>
  <c r="G683" i="36"/>
  <c r="G684" i="36"/>
  <c r="G685" i="36"/>
  <c r="G686" i="36"/>
  <c r="G687" i="36"/>
  <c r="G688" i="36"/>
  <c r="G689" i="36"/>
  <c r="G690" i="36"/>
  <c r="G691" i="36"/>
  <c r="G692" i="36"/>
  <c r="G693" i="36"/>
  <c r="G694" i="36"/>
  <c r="G695" i="36"/>
  <c r="G696" i="36"/>
  <c r="G697" i="36"/>
  <c r="G698" i="36"/>
  <c r="G699" i="36"/>
  <c r="G700" i="36"/>
  <c r="G701" i="36"/>
  <c r="G702" i="36"/>
  <c r="G703" i="36"/>
  <c r="G704" i="36"/>
  <c r="G705" i="36"/>
  <c r="G706" i="36"/>
  <c r="G707" i="36"/>
  <c r="G708" i="36"/>
  <c r="G709" i="36"/>
  <c r="G710" i="36"/>
  <c r="G711" i="36"/>
  <c r="G712" i="36"/>
  <c r="G713" i="36"/>
  <c r="G714" i="36"/>
  <c r="G715" i="36"/>
  <c r="G716" i="36"/>
  <c r="G717" i="36"/>
  <c r="G718" i="36"/>
  <c r="G719" i="36"/>
  <c r="G720" i="36"/>
  <c r="G721" i="36"/>
  <c r="G722" i="36"/>
  <c r="G723" i="36"/>
  <c r="G724" i="36"/>
  <c r="G725" i="36"/>
  <c r="G726" i="36"/>
  <c r="G727" i="36"/>
  <c r="G728" i="36"/>
  <c r="G729" i="36"/>
  <c r="G730" i="36"/>
  <c r="G731" i="36"/>
  <c r="G732" i="36"/>
  <c r="G733" i="36"/>
  <c r="G734" i="36"/>
  <c r="G735" i="36"/>
  <c r="G736" i="36"/>
  <c r="G737" i="36"/>
  <c r="G738" i="36"/>
  <c r="G739" i="36"/>
  <c r="G740" i="36"/>
  <c r="G741" i="36"/>
  <c r="G742" i="36"/>
  <c r="G743" i="36"/>
  <c r="G744" i="36"/>
  <c r="G745" i="36"/>
  <c r="G746" i="36"/>
  <c r="G747" i="36"/>
  <c r="G748" i="36"/>
  <c r="G749" i="36"/>
  <c r="G750" i="36"/>
  <c r="G751" i="36"/>
  <c r="G752" i="36"/>
  <c r="G753" i="36"/>
  <c r="G754" i="36"/>
  <c r="G755" i="36"/>
  <c r="G756" i="36"/>
  <c r="G757" i="36"/>
  <c r="G758" i="36"/>
  <c r="G759" i="36"/>
  <c r="G760" i="36"/>
  <c r="G761" i="36"/>
  <c r="G762" i="36"/>
  <c r="G763" i="36"/>
  <c r="G764" i="36"/>
  <c r="G765" i="36"/>
  <c r="G766" i="36"/>
  <c r="G767" i="36"/>
  <c r="G768" i="36"/>
  <c r="G769" i="36"/>
  <c r="G770" i="36"/>
  <c r="G771" i="36"/>
  <c r="G772" i="36"/>
  <c r="G773" i="36"/>
  <c r="G774" i="36"/>
  <c r="G775" i="36"/>
  <c r="G776" i="36"/>
  <c r="G777" i="36"/>
  <c r="G778" i="36"/>
  <c r="G779" i="36"/>
  <c r="G780" i="36"/>
  <c r="G781" i="36"/>
  <c r="G782" i="36"/>
  <c r="G783" i="36"/>
  <c r="G784" i="36"/>
  <c r="G785" i="36"/>
  <c r="G786" i="36"/>
  <c r="G787" i="36"/>
  <c r="G788" i="36"/>
  <c r="G789" i="36"/>
  <c r="G790" i="36"/>
  <c r="G791" i="36"/>
  <c r="G792" i="36"/>
  <c r="G793" i="36"/>
  <c r="G794" i="36"/>
  <c r="G795" i="36"/>
  <c r="G796" i="36"/>
  <c r="G797" i="36"/>
  <c r="G798" i="36"/>
  <c r="G799" i="36"/>
  <c r="G800" i="36"/>
  <c r="G801" i="36"/>
  <c r="G802" i="36"/>
  <c r="G803" i="36"/>
  <c r="G804" i="36"/>
  <c r="G805" i="36"/>
  <c r="G806" i="36"/>
  <c r="G807" i="36"/>
  <c r="G808" i="36"/>
  <c r="G809" i="36"/>
  <c r="G810" i="36"/>
  <c r="G68" i="36"/>
  <c r="G69" i="36"/>
  <c r="G70" i="36"/>
  <c r="G71" i="36"/>
  <c r="G72" i="36"/>
  <c r="G73" i="36"/>
  <c r="G74" i="36"/>
  <c r="G75" i="36"/>
  <c r="G76" i="36"/>
  <c r="G77" i="36"/>
  <c r="G78" i="36"/>
  <c r="G79" i="36"/>
  <c r="G80" i="36"/>
  <c r="G81" i="36"/>
  <c r="G82" i="36"/>
  <c r="G83" i="36"/>
  <c r="G84" i="36"/>
  <c r="G85" i="36"/>
  <c r="G86" i="36"/>
  <c r="G87" i="36"/>
  <c r="G88" i="36"/>
  <c r="G89" i="36"/>
  <c r="G90" i="36"/>
  <c r="G91" i="36"/>
  <c r="G67" i="36"/>
  <c r="E68" i="36"/>
  <c r="E69" i="36"/>
  <c r="E70" i="36"/>
  <c r="E71" i="36"/>
  <c r="E72" i="36"/>
  <c r="E73" i="36"/>
  <c r="E74" i="36"/>
  <c r="E75" i="36"/>
  <c r="E76" i="36"/>
  <c r="E77" i="36"/>
  <c r="E78" i="36"/>
  <c r="E79" i="36"/>
  <c r="E80" i="36"/>
  <c r="E81" i="36"/>
  <c r="E82" i="36"/>
  <c r="E83" i="36"/>
  <c r="E84" i="36"/>
  <c r="E85" i="36"/>
  <c r="E86" i="36"/>
  <c r="E87" i="36"/>
  <c r="E88" i="36"/>
  <c r="E89" i="36"/>
  <c r="E90" i="36"/>
  <c r="E91" i="36"/>
  <c r="E67" i="36"/>
  <c r="B68" i="36"/>
  <c r="B69" i="36"/>
  <c r="B70" i="36"/>
  <c r="B71" i="36"/>
  <c r="B72" i="36"/>
  <c r="B73" i="36"/>
  <c r="B74" i="36"/>
  <c r="B75" i="36"/>
  <c r="B76" i="36"/>
  <c r="B77" i="36"/>
  <c r="B78" i="36"/>
  <c r="B79" i="36"/>
  <c r="B80" i="36"/>
  <c r="B81" i="36"/>
  <c r="B82" i="36"/>
  <c r="B83" i="36"/>
  <c r="B84" i="36"/>
  <c r="B85" i="36"/>
  <c r="B86" i="36"/>
  <c r="B87" i="36"/>
  <c r="B88" i="36"/>
  <c r="B89" i="36"/>
  <c r="B90" i="36"/>
  <c r="B91" i="36"/>
  <c r="B67" i="36"/>
  <c r="C65" i="36" l="1"/>
  <c r="C48" i="36" s="1"/>
  <c r="D65" i="36"/>
  <c r="C49" i="36" s="1"/>
  <c r="E65" i="36"/>
  <c r="C50" i="36" s="1"/>
  <c r="F65" i="36"/>
  <c r="C51" i="36" s="1"/>
  <c r="G65" i="36"/>
  <c r="C52" i="36" s="1"/>
  <c r="H65" i="36"/>
  <c r="C53" i="36" s="1"/>
  <c r="I65" i="36"/>
  <c r="C54" i="36" s="1"/>
  <c r="J65" i="36"/>
  <c r="C56" i="36" s="1"/>
  <c r="K65" i="36"/>
  <c r="C57" i="36" s="1"/>
  <c r="L65" i="36"/>
  <c r="C58" i="36" s="1"/>
  <c r="M65" i="36"/>
  <c r="C59" i="36" s="1"/>
  <c r="N65" i="36"/>
  <c r="C60" i="36" s="1"/>
  <c r="O65" i="36"/>
  <c r="C61" i="36" s="1"/>
  <c r="B65" i="36"/>
  <c r="C47" i="36" s="1"/>
  <c r="G23" i="36" l="1"/>
  <c r="G24" i="36"/>
  <c r="G25" i="36"/>
  <c r="G26" i="36"/>
  <c r="G27" i="36"/>
  <c r="G28" i="36"/>
  <c r="G29" i="36"/>
  <c r="C30" i="36"/>
  <c r="D30" i="36"/>
  <c r="E30" i="36"/>
  <c r="F30" i="36"/>
  <c r="G30" i="36"/>
  <c r="H30" i="36"/>
  <c r="I30" i="36"/>
  <c r="D226" i="12" l="1"/>
  <c r="C108" i="12"/>
  <c r="D108" i="12"/>
  <c r="E108" i="12"/>
  <c r="F108" i="12"/>
  <c r="H108" i="12"/>
  <c r="I108" i="12"/>
  <c r="C109" i="12"/>
  <c r="D109" i="12"/>
  <c r="E109" i="12"/>
  <c r="F109" i="12"/>
  <c r="H109" i="12"/>
  <c r="I109" i="12"/>
  <c r="C110" i="12"/>
  <c r="D110" i="12"/>
  <c r="E110" i="12"/>
  <c r="F110" i="12"/>
  <c r="H110" i="12"/>
  <c r="I110" i="12"/>
  <c r="C111" i="12"/>
  <c r="D111" i="12"/>
  <c r="E111" i="12"/>
  <c r="F111" i="12"/>
  <c r="H111" i="12"/>
  <c r="I111" i="12"/>
  <c r="C112" i="12"/>
  <c r="D112" i="12"/>
  <c r="E112" i="12"/>
  <c r="F112" i="12"/>
  <c r="H112" i="12"/>
  <c r="I112" i="12"/>
  <c r="C113" i="12"/>
  <c r="D113" i="12"/>
  <c r="E113" i="12"/>
  <c r="F113" i="12"/>
  <c r="H113" i="12"/>
  <c r="I113" i="12"/>
  <c r="D107" i="12"/>
  <c r="E107" i="12"/>
  <c r="F107" i="12"/>
  <c r="H107" i="12"/>
  <c r="I107" i="12"/>
  <c r="C107" i="12"/>
  <c r="C13" i="36"/>
  <c r="C42" i="12" s="1"/>
  <c r="D13" i="36"/>
  <c r="D42" i="12" s="1"/>
  <c r="E13" i="36"/>
  <c r="E42" i="12" s="1"/>
  <c r="F13" i="36"/>
  <c r="F42" i="12" s="1"/>
  <c r="G13" i="36"/>
  <c r="G42" i="12" s="1"/>
  <c r="H13" i="36"/>
  <c r="H42" i="12" s="1"/>
  <c r="I13" i="36"/>
  <c r="I42" i="12" s="1"/>
  <c r="C14" i="36"/>
  <c r="C43" i="12" s="1"/>
  <c r="D14" i="36"/>
  <c r="D43" i="12" s="1"/>
  <c r="E14" i="36"/>
  <c r="F14" i="36"/>
  <c r="F43" i="12" s="1"/>
  <c r="G14" i="36"/>
  <c r="G43" i="12" s="1"/>
  <c r="H14" i="36"/>
  <c r="H43" i="12" s="1"/>
  <c r="I14" i="36"/>
  <c r="I43" i="12" s="1"/>
  <c r="C15" i="36"/>
  <c r="C44" i="12" s="1"/>
  <c r="D15" i="36"/>
  <c r="D44" i="12" s="1"/>
  <c r="E15" i="36"/>
  <c r="E44" i="12" s="1"/>
  <c r="F15" i="36"/>
  <c r="F44" i="12" s="1"/>
  <c r="G15" i="36"/>
  <c r="G44" i="12" s="1"/>
  <c r="H15" i="36"/>
  <c r="H44" i="12" s="1"/>
  <c r="I15" i="36"/>
  <c r="I44" i="12" s="1"/>
  <c r="C16" i="36"/>
  <c r="C45" i="12" s="1"/>
  <c r="D16" i="36"/>
  <c r="D45" i="12" s="1"/>
  <c r="E16" i="36"/>
  <c r="E45" i="12" s="1"/>
  <c r="F16" i="36"/>
  <c r="F45" i="12" s="1"/>
  <c r="G16" i="36"/>
  <c r="H16" i="36"/>
  <c r="H45" i="12" s="1"/>
  <c r="I16" i="36"/>
  <c r="I45" i="12" s="1"/>
  <c r="C17" i="36"/>
  <c r="C46" i="12" s="1"/>
  <c r="D17" i="36"/>
  <c r="D46" i="12" s="1"/>
  <c r="E17" i="36"/>
  <c r="E46" i="12" s="1"/>
  <c r="F17" i="36"/>
  <c r="F46" i="12" s="1"/>
  <c r="G17" i="36"/>
  <c r="G46" i="12" s="1"/>
  <c r="H17" i="36"/>
  <c r="H46" i="12" s="1"/>
  <c r="I17" i="36"/>
  <c r="I46" i="12" s="1"/>
  <c r="C18" i="36"/>
  <c r="C47" i="12" s="1"/>
  <c r="D18" i="36"/>
  <c r="D47" i="12" s="1"/>
  <c r="E18" i="36"/>
  <c r="E47" i="12" s="1"/>
  <c r="F18" i="36"/>
  <c r="F47" i="12" s="1"/>
  <c r="G18" i="36"/>
  <c r="G47" i="12" s="1"/>
  <c r="H18" i="36"/>
  <c r="H47" i="12" s="1"/>
  <c r="I18" i="36"/>
  <c r="I47" i="12" s="1"/>
  <c r="C19" i="36"/>
  <c r="C48" i="12" s="1"/>
  <c r="D19" i="36"/>
  <c r="D48" i="12" s="1"/>
  <c r="E19" i="36"/>
  <c r="E48" i="12" s="1"/>
  <c r="F19" i="36"/>
  <c r="F48" i="12" s="1"/>
  <c r="G19" i="36"/>
  <c r="G48" i="12" s="1"/>
  <c r="H19" i="36"/>
  <c r="H48" i="12" s="1"/>
  <c r="I19" i="36"/>
  <c r="I48" i="12" s="1"/>
  <c r="C20" i="36"/>
  <c r="D20" i="36"/>
  <c r="D49" i="12" s="1"/>
  <c r="E20" i="36"/>
  <c r="E49" i="12" s="1"/>
  <c r="F20" i="36"/>
  <c r="F49" i="12" s="1"/>
  <c r="G20" i="36"/>
  <c r="G49" i="12" s="1"/>
  <c r="H20" i="36"/>
  <c r="H49" i="12" s="1"/>
  <c r="I20" i="36"/>
  <c r="I49" i="12" s="1"/>
  <c r="C21" i="36"/>
  <c r="C56" i="12" s="1"/>
  <c r="D21" i="36"/>
  <c r="D56" i="12" s="1"/>
  <c r="E21" i="36"/>
  <c r="E56" i="12" s="1"/>
  <c r="F21" i="36"/>
  <c r="F56" i="12" s="1"/>
  <c r="G21" i="36"/>
  <c r="G56" i="12" s="1"/>
  <c r="H21" i="36"/>
  <c r="H56" i="12" s="1"/>
  <c r="I21" i="36"/>
  <c r="I56" i="12" s="1"/>
  <c r="G107" i="12"/>
  <c r="G108" i="12"/>
  <c r="G109" i="12"/>
  <c r="G110" i="12"/>
  <c r="G112" i="12"/>
  <c r="G113" i="12"/>
  <c r="C114" i="12"/>
  <c r="D114" i="12"/>
  <c r="E114" i="12"/>
  <c r="F114" i="12"/>
  <c r="H114" i="12"/>
  <c r="I114" i="12"/>
  <c r="E43" i="12"/>
  <c r="D190" i="12"/>
  <c r="D183" i="12"/>
  <c r="D182" i="12"/>
  <c r="D181" i="12"/>
  <c r="C176" i="12"/>
  <c r="C175" i="12"/>
  <c r="C65" i="12"/>
  <c r="C66" i="12"/>
  <c r="C67" i="12"/>
  <c r="C68" i="12"/>
  <c r="C69" i="12"/>
  <c r="C70" i="12"/>
  <c r="C71" i="12"/>
  <c r="F3" i="29" s="1"/>
  <c r="C64" i="12"/>
  <c r="G45" i="12"/>
  <c r="C49" i="12"/>
  <c r="C32" i="12"/>
  <c r="D32" i="12"/>
  <c r="E32" i="12"/>
  <c r="F32" i="12"/>
  <c r="C33" i="12"/>
  <c r="D33" i="12"/>
  <c r="E33" i="12"/>
  <c r="F33" i="12"/>
  <c r="C34" i="12"/>
  <c r="D34" i="12"/>
  <c r="E34" i="12"/>
  <c r="F34" i="12"/>
  <c r="C35" i="12"/>
  <c r="D35" i="12"/>
  <c r="E35" i="12"/>
  <c r="F35" i="12"/>
  <c r="C36" i="12"/>
  <c r="D36" i="12"/>
  <c r="E36" i="12"/>
  <c r="F36" i="12"/>
  <c r="D31" i="12"/>
  <c r="E31" i="12"/>
  <c r="F31" i="12"/>
  <c r="C31" i="12"/>
  <c r="C23" i="12"/>
  <c r="D23" i="12"/>
  <c r="E23" i="12"/>
  <c r="F23" i="12"/>
  <c r="G23" i="12"/>
  <c r="H23" i="12"/>
  <c r="I23" i="12"/>
  <c r="C24" i="12"/>
  <c r="D24" i="12"/>
  <c r="E24" i="12"/>
  <c r="F24" i="12"/>
  <c r="G24" i="12"/>
  <c r="H24" i="12"/>
  <c r="I24" i="12"/>
  <c r="C25" i="12"/>
  <c r="D25" i="12"/>
  <c r="E25" i="12"/>
  <c r="F25" i="12"/>
  <c r="G25" i="12"/>
  <c r="H25" i="12"/>
  <c r="I25" i="12"/>
  <c r="C26" i="12"/>
  <c r="D26" i="12"/>
  <c r="E26" i="12"/>
  <c r="F26" i="12"/>
  <c r="G26" i="12"/>
  <c r="H26" i="12"/>
  <c r="I26" i="12"/>
  <c r="D22" i="12"/>
  <c r="E22" i="12"/>
  <c r="F22" i="12"/>
  <c r="G22" i="12"/>
  <c r="H22" i="12"/>
  <c r="I22" i="12"/>
  <c r="C22" i="12"/>
  <c r="G114" i="12" l="1"/>
  <c r="G111" i="12"/>
  <c r="J18" i="25" l="1"/>
  <c r="J31" i="25" s="1"/>
  <c r="J44" i="25" s="1"/>
  <c r="J57" i="25" s="1"/>
  <c r="J70" i="25" s="1"/>
  <c r="J83" i="25" s="1"/>
  <c r="F107" i="35" l="1"/>
  <c r="G107" i="35"/>
  <c r="H107" i="35"/>
  <c r="L107" i="35"/>
  <c r="F108" i="35"/>
  <c r="G108" i="35"/>
  <c r="H108" i="35"/>
  <c r="L108" i="35"/>
  <c r="F109" i="35"/>
  <c r="G109" i="35"/>
  <c r="H109" i="35"/>
  <c r="L109" i="35"/>
  <c r="F110" i="35"/>
  <c r="G110" i="35"/>
  <c r="H110" i="35"/>
  <c r="L110" i="35"/>
  <c r="F111" i="35"/>
  <c r="G111" i="35"/>
  <c r="H111" i="35"/>
  <c r="P111" i="35" s="1"/>
  <c r="L111" i="35"/>
  <c r="Q111" i="35" s="1"/>
  <c r="G106" i="35"/>
  <c r="H106" i="35"/>
  <c r="L106" i="35"/>
  <c r="F106" i="35"/>
  <c r="H86" i="35"/>
  <c r="H87" i="35"/>
  <c r="H88" i="35"/>
  <c r="H89" i="35"/>
  <c r="H90" i="35"/>
  <c r="H91" i="35"/>
  <c r="H85" i="35"/>
  <c r="H73" i="35"/>
  <c r="H74" i="35"/>
  <c r="H75" i="35"/>
  <c r="H76" i="35"/>
  <c r="H77" i="35"/>
  <c r="H78" i="35"/>
  <c r="H72" i="35"/>
  <c r="H47" i="35"/>
  <c r="H48" i="35"/>
  <c r="H49" i="35"/>
  <c r="H50" i="35"/>
  <c r="H51" i="35"/>
  <c r="H52" i="35"/>
  <c r="H46" i="35"/>
  <c r="H34" i="35"/>
  <c r="H35" i="35"/>
  <c r="H36" i="35"/>
  <c r="H37" i="35"/>
  <c r="H38" i="35"/>
  <c r="H39" i="35"/>
  <c r="H33" i="35"/>
  <c r="H21" i="35"/>
  <c r="H22" i="35"/>
  <c r="H23" i="35"/>
  <c r="H24" i="35"/>
  <c r="H25" i="35"/>
  <c r="H26" i="35"/>
  <c r="H20" i="35"/>
  <c r="H8" i="35"/>
  <c r="H9" i="35"/>
  <c r="H10" i="35"/>
  <c r="H11" i="35"/>
  <c r="H12" i="35"/>
  <c r="H13" i="35"/>
  <c r="H7" i="35"/>
  <c r="S101" i="35"/>
  <c r="R101" i="35"/>
  <c r="M101" i="35"/>
  <c r="L101" i="35"/>
  <c r="H101" i="35"/>
  <c r="G101" i="35"/>
  <c r="F101" i="35"/>
  <c r="S100" i="35"/>
  <c r="R100" i="35"/>
  <c r="M100" i="35"/>
  <c r="L100" i="35"/>
  <c r="H100" i="35"/>
  <c r="G100" i="35"/>
  <c r="F100" i="35"/>
  <c r="S99" i="35"/>
  <c r="R99" i="35"/>
  <c r="M99" i="35"/>
  <c r="L99" i="35"/>
  <c r="H99" i="35"/>
  <c r="G99" i="35"/>
  <c r="F99" i="35"/>
  <c r="C91" i="35"/>
  <c r="S98" i="35" s="1"/>
  <c r="C90" i="35"/>
  <c r="C89" i="35"/>
  <c r="C88" i="35"/>
  <c r="C87" i="35"/>
  <c r="C78" i="35"/>
  <c r="R98" i="35" s="1"/>
  <c r="C77" i="35"/>
  <c r="C76" i="35"/>
  <c r="C75" i="35"/>
  <c r="C74" i="35"/>
  <c r="C65" i="35"/>
  <c r="M98" i="35" s="1"/>
  <c r="C64" i="35"/>
  <c r="C63" i="35"/>
  <c r="C62" i="35"/>
  <c r="C61" i="35"/>
  <c r="C52" i="35"/>
  <c r="L98" i="35" s="1"/>
  <c r="C51" i="35"/>
  <c r="C50" i="35"/>
  <c r="C49" i="35"/>
  <c r="C48" i="35"/>
  <c r="C39" i="35"/>
  <c r="H98" i="35" s="1"/>
  <c r="C38" i="35"/>
  <c r="C37" i="35"/>
  <c r="C36" i="35"/>
  <c r="C35" i="35"/>
  <c r="B27" i="35"/>
  <c r="B40" i="35" s="1"/>
  <c r="B53" i="35" s="1"/>
  <c r="B66" i="35" s="1"/>
  <c r="B79" i="35" s="1"/>
  <c r="B92" i="35" s="1"/>
  <c r="C26" i="35"/>
  <c r="G98" i="35" s="1"/>
  <c r="C25" i="35"/>
  <c r="C24" i="35"/>
  <c r="C23" i="35"/>
  <c r="B23" i="35"/>
  <c r="B36" i="35" s="1"/>
  <c r="B49" i="35" s="1"/>
  <c r="B62" i="35" s="1"/>
  <c r="B75" i="35" s="1"/>
  <c r="B88" i="35" s="1"/>
  <c r="C22" i="35"/>
  <c r="E14" i="35"/>
  <c r="E27" i="35" s="1"/>
  <c r="E40" i="35" s="1"/>
  <c r="E53" i="35" s="1"/>
  <c r="E66" i="35" s="1"/>
  <c r="E79" i="35" s="1"/>
  <c r="E92" i="35" s="1"/>
  <c r="E13" i="35"/>
  <c r="E26" i="35" s="1"/>
  <c r="E39" i="35" s="1"/>
  <c r="E52" i="35" s="1"/>
  <c r="E65" i="35" s="1"/>
  <c r="E78" i="35" s="1"/>
  <c r="E91" i="35" s="1"/>
  <c r="C13" i="35"/>
  <c r="F98" i="35" s="1"/>
  <c r="B13" i="35"/>
  <c r="B26" i="35" s="1"/>
  <c r="B39" i="35" s="1"/>
  <c r="B52" i="35" s="1"/>
  <c r="B65" i="35" s="1"/>
  <c r="B78" i="35" s="1"/>
  <c r="B91" i="35" s="1"/>
  <c r="E12" i="35"/>
  <c r="E25" i="35" s="1"/>
  <c r="E38" i="35" s="1"/>
  <c r="E51" i="35" s="1"/>
  <c r="E64" i="35" s="1"/>
  <c r="E77" i="35" s="1"/>
  <c r="E90" i="35" s="1"/>
  <c r="C12" i="35"/>
  <c r="B12" i="35"/>
  <c r="B25" i="35" s="1"/>
  <c r="B38" i="35" s="1"/>
  <c r="B51" i="35" s="1"/>
  <c r="B64" i="35" s="1"/>
  <c r="B77" i="35" s="1"/>
  <c r="B90" i="35" s="1"/>
  <c r="E11" i="35"/>
  <c r="E24" i="35" s="1"/>
  <c r="E37" i="35" s="1"/>
  <c r="E50" i="35" s="1"/>
  <c r="E63" i="35" s="1"/>
  <c r="E76" i="35" s="1"/>
  <c r="E89" i="35" s="1"/>
  <c r="C11" i="35"/>
  <c r="B11" i="35"/>
  <c r="B24" i="35" s="1"/>
  <c r="B37" i="35" s="1"/>
  <c r="B50" i="35" s="1"/>
  <c r="B63" i="35" s="1"/>
  <c r="B76" i="35" s="1"/>
  <c r="B89" i="35" s="1"/>
  <c r="E10" i="35"/>
  <c r="E23" i="35" s="1"/>
  <c r="E36" i="35" s="1"/>
  <c r="E49" i="35" s="1"/>
  <c r="E62" i="35" s="1"/>
  <c r="E75" i="35" s="1"/>
  <c r="E88" i="35" s="1"/>
  <c r="C10" i="35"/>
  <c r="E9" i="35"/>
  <c r="E22" i="35" s="1"/>
  <c r="E35" i="35" s="1"/>
  <c r="E48" i="35" s="1"/>
  <c r="E61" i="35" s="1"/>
  <c r="E74" i="35" s="1"/>
  <c r="E87" i="35" s="1"/>
  <c r="C9" i="35"/>
  <c r="B9" i="35"/>
  <c r="B22" i="35" s="1"/>
  <c r="B35" i="35" s="1"/>
  <c r="B48" i="35" s="1"/>
  <c r="B61" i="35" s="1"/>
  <c r="B74" i="35" s="1"/>
  <c r="B87" i="35" s="1"/>
  <c r="E8" i="35"/>
  <c r="E21" i="35" s="1"/>
  <c r="E34" i="35" s="1"/>
  <c r="E47" i="35" s="1"/>
  <c r="E60" i="35" s="1"/>
  <c r="E73" i="35" s="1"/>
  <c r="E86" i="35" s="1"/>
  <c r="E7" i="35"/>
  <c r="E20" i="35" s="1"/>
  <c r="E33" i="35" s="1"/>
  <c r="E46" i="35" s="1"/>
  <c r="E59" i="35" s="1"/>
  <c r="E72" i="35" s="1"/>
  <c r="E85" i="35" s="1"/>
  <c r="H60" i="35"/>
  <c r="H61" i="35"/>
  <c r="H62" i="35"/>
  <c r="H63" i="35"/>
  <c r="H64" i="35"/>
  <c r="H65" i="35"/>
  <c r="H59" i="35"/>
  <c r="H27" i="35"/>
  <c r="H40" i="35"/>
  <c r="H53" i="35"/>
  <c r="H79" i="35"/>
  <c r="H92" i="35"/>
  <c r="H14" i="35"/>
  <c r="C106" i="12"/>
  <c r="D106" i="12"/>
  <c r="E106" i="12"/>
  <c r="F106" i="12"/>
  <c r="G106" i="12"/>
  <c r="H106" i="12"/>
  <c r="I106" i="12"/>
  <c r="B106" i="12"/>
  <c r="D4" i="34"/>
  <c r="D4" i="33"/>
  <c r="C4" i="34"/>
  <c r="C4" i="33"/>
  <c r="L64" i="34"/>
  <c r="L63" i="34"/>
  <c r="L62" i="34"/>
  <c r="L61" i="34"/>
  <c r="L60" i="34"/>
  <c r="L59" i="34"/>
  <c r="L58" i="34"/>
  <c r="L57" i="34"/>
  <c r="B29" i="34"/>
  <c r="B39" i="34" s="1"/>
  <c r="B49" i="34" s="1"/>
  <c r="B59" i="34" s="1"/>
  <c r="B69" i="34" s="1"/>
  <c r="F25" i="34"/>
  <c r="E25" i="34"/>
  <c r="I25" i="34" s="1"/>
  <c r="D25" i="34"/>
  <c r="C25" i="34"/>
  <c r="C34" i="34" s="1"/>
  <c r="C44" i="34" s="1"/>
  <c r="F24" i="34"/>
  <c r="E24" i="34"/>
  <c r="D24" i="34"/>
  <c r="C24" i="34"/>
  <c r="C33" i="34" s="1"/>
  <c r="C43" i="34" s="1"/>
  <c r="F23" i="34"/>
  <c r="E23" i="34"/>
  <c r="D23" i="34"/>
  <c r="C23" i="34"/>
  <c r="C32" i="34" s="1"/>
  <c r="C42" i="34" s="1"/>
  <c r="F22" i="34"/>
  <c r="E22" i="34"/>
  <c r="D22" i="34"/>
  <c r="D31" i="34" s="1"/>
  <c r="D41" i="34" s="1"/>
  <c r="C22" i="34"/>
  <c r="C31" i="34" s="1"/>
  <c r="C41" i="34" s="1"/>
  <c r="F21" i="34"/>
  <c r="E21" i="34"/>
  <c r="D21" i="34"/>
  <c r="C21" i="34"/>
  <c r="C30" i="34" s="1"/>
  <c r="C40" i="34" s="1"/>
  <c r="F20" i="34"/>
  <c r="F29" i="34" s="1"/>
  <c r="F39" i="34" s="1"/>
  <c r="E20" i="34"/>
  <c r="E29" i="34" s="1"/>
  <c r="E39" i="34" s="1"/>
  <c r="D20" i="34"/>
  <c r="D29" i="34" s="1"/>
  <c r="D39" i="34" s="1"/>
  <c r="C20" i="34"/>
  <c r="D14" i="34"/>
  <c r="B14" i="34"/>
  <c r="I11" i="34"/>
  <c r="H11" i="34"/>
  <c r="G11" i="34"/>
  <c r="F11" i="34"/>
  <c r="E11" i="34"/>
  <c r="D11" i="34"/>
  <c r="C11" i="34"/>
  <c r="B11" i="34"/>
  <c r="I10" i="34"/>
  <c r="H10" i="34"/>
  <c r="G10" i="34"/>
  <c r="F10" i="34"/>
  <c r="E10" i="34"/>
  <c r="D10" i="34"/>
  <c r="C10" i="34"/>
  <c r="I9" i="34"/>
  <c r="H9" i="34"/>
  <c r="G9" i="34"/>
  <c r="F9" i="34"/>
  <c r="E9" i="34"/>
  <c r="D9" i="34"/>
  <c r="C9" i="34"/>
  <c r="I8" i="34"/>
  <c r="H8" i="34"/>
  <c r="G8" i="34"/>
  <c r="F8" i="34"/>
  <c r="E8" i="34"/>
  <c r="D8" i="34"/>
  <c r="C8" i="34"/>
  <c r="L64" i="33"/>
  <c r="L63" i="33"/>
  <c r="L62" i="33"/>
  <c r="L61" i="33"/>
  <c r="L60" i="33"/>
  <c r="L59" i="33"/>
  <c r="L58" i="33"/>
  <c r="L57" i="33"/>
  <c r="B29" i="33"/>
  <c r="B39" i="33" s="1"/>
  <c r="B49" i="33" s="1"/>
  <c r="B59" i="33" s="1"/>
  <c r="B69" i="33" s="1"/>
  <c r="F25" i="33"/>
  <c r="E25" i="33"/>
  <c r="D25" i="33"/>
  <c r="D34" i="33" s="1"/>
  <c r="D44" i="33" s="1"/>
  <c r="C25" i="33"/>
  <c r="C34" i="33" s="1"/>
  <c r="C44" i="33" s="1"/>
  <c r="F24" i="33"/>
  <c r="E24" i="33"/>
  <c r="D24" i="33"/>
  <c r="D33" i="33" s="1"/>
  <c r="D43" i="33" s="1"/>
  <c r="C24" i="33"/>
  <c r="C33" i="33" s="1"/>
  <c r="C43" i="33" s="1"/>
  <c r="F23" i="33"/>
  <c r="E23" i="33"/>
  <c r="D23" i="33"/>
  <c r="C23" i="33"/>
  <c r="C32" i="33" s="1"/>
  <c r="C42" i="33" s="1"/>
  <c r="F22" i="33"/>
  <c r="E22" i="33"/>
  <c r="D22" i="33"/>
  <c r="D31" i="33" s="1"/>
  <c r="D41" i="33" s="1"/>
  <c r="C22" i="33"/>
  <c r="C31" i="33" s="1"/>
  <c r="C41" i="33" s="1"/>
  <c r="F21" i="33"/>
  <c r="E21" i="33"/>
  <c r="D21" i="33"/>
  <c r="C21" i="33"/>
  <c r="C30" i="33" s="1"/>
  <c r="C40" i="33" s="1"/>
  <c r="F20" i="33"/>
  <c r="F29" i="33" s="1"/>
  <c r="F39" i="33" s="1"/>
  <c r="E20" i="33"/>
  <c r="E29" i="33" s="1"/>
  <c r="E39" i="33" s="1"/>
  <c r="D20" i="33"/>
  <c r="D29" i="33" s="1"/>
  <c r="D39" i="33" s="1"/>
  <c r="C20" i="33"/>
  <c r="D14" i="33"/>
  <c r="B14" i="33"/>
  <c r="I11" i="33"/>
  <c r="H11" i="33"/>
  <c r="G11" i="33"/>
  <c r="F11" i="33"/>
  <c r="E11" i="33"/>
  <c r="D11" i="33"/>
  <c r="C11" i="33"/>
  <c r="B11" i="33"/>
  <c r="I10" i="33"/>
  <c r="H10" i="33"/>
  <c r="G10" i="33"/>
  <c r="F10" i="33"/>
  <c r="E10" i="33"/>
  <c r="D10" i="33"/>
  <c r="C10" i="33"/>
  <c r="I9" i="33"/>
  <c r="H9" i="33"/>
  <c r="G9" i="33"/>
  <c r="F9" i="33"/>
  <c r="E9" i="33"/>
  <c r="D9" i="33"/>
  <c r="C9" i="33"/>
  <c r="I8" i="33"/>
  <c r="H8" i="33"/>
  <c r="G8" i="33"/>
  <c r="F8" i="33"/>
  <c r="E8" i="33"/>
  <c r="D8" i="33"/>
  <c r="C8" i="33"/>
  <c r="B48" i="32"/>
  <c r="B58" i="32" s="1"/>
  <c r="B68" i="32" s="1"/>
  <c r="B78" i="32" s="1"/>
  <c r="B88" i="32" s="1"/>
  <c r="D21" i="32"/>
  <c r="F12" i="32" s="1"/>
  <c r="G12" i="32" s="1"/>
  <c r="E19" i="32"/>
  <c r="C19" i="32"/>
  <c r="D29" i="32"/>
  <c r="E29" i="32"/>
  <c r="F29" i="32"/>
  <c r="G29" i="32"/>
  <c r="H29" i="32"/>
  <c r="I29" i="32"/>
  <c r="C29" i="32"/>
  <c r="L83" i="32"/>
  <c r="L82" i="32"/>
  <c r="L81" i="32"/>
  <c r="L80" i="32"/>
  <c r="L79" i="32"/>
  <c r="L78" i="32"/>
  <c r="L77" i="32"/>
  <c r="L76" i="32"/>
  <c r="J52" i="35" l="1"/>
  <c r="I72" i="35"/>
  <c r="K64" i="35"/>
  <c r="J38" i="35"/>
  <c r="Q110" i="35"/>
  <c r="I13" i="35"/>
  <c r="J78" i="35"/>
  <c r="J26" i="35"/>
  <c r="I26" i="35"/>
  <c r="J75" i="35"/>
  <c r="J64" i="35"/>
  <c r="J33" i="35"/>
  <c r="J36" i="35"/>
  <c r="J90" i="35"/>
  <c r="J21" i="35"/>
  <c r="J39" i="35"/>
  <c r="I7" i="35"/>
  <c r="J51" i="35"/>
  <c r="J23" i="35"/>
  <c r="I59" i="35"/>
  <c r="I12" i="35"/>
  <c r="J25" i="35"/>
  <c r="J62" i="35"/>
  <c r="J9" i="35"/>
  <c r="J77" i="35"/>
  <c r="J65" i="35"/>
  <c r="J20" i="35"/>
  <c r="J22" i="35"/>
  <c r="J24" i="35"/>
  <c r="I34" i="35"/>
  <c r="K38" i="35"/>
  <c r="I47" i="35"/>
  <c r="K51" i="35"/>
  <c r="K61" i="35"/>
  <c r="K74" i="35"/>
  <c r="K77" i="35"/>
  <c r="I86" i="35"/>
  <c r="I89" i="35"/>
  <c r="K90" i="35"/>
  <c r="J13" i="35"/>
  <c r="K20" i="35"/>
  <c r="K22" i="35"/>
  <c r="K24" i="35"/>
  <c r="K26" i="35"/>
  <c r="J34" i="35"/>
  <c r="I37" i="35"/>
  <c r="J47" i="35"/>
  <c r="I50" i="35"/>
  <c r="I60" i="35"/>
  <c r="I63" i="35"/>
  <c r="I73" i="35"/>
  <c r="I76" i="35"/>
  <c r="J86" i="35"/>
  <c r="J89" i="35"/>
  <c r="K34" i="35"/>
  <c r="J37" i="35"/>
  <c r="K47" i="35"/>
  <c r="J50" i="35"/>
  <c r="J60" i="35"/>
  <c r="J63" i="35"/>
  <c r="J73" i="35"/>
  <c r="J76" i="35"/>
  <c r="K86" i="35"/>
  <c r="I88" i="35"/>
  <c r="K89" i="35"/>
  <c r="I21" i="35"/>
  <c r="I23" i="35"/>
  <c r="I25" i="35"/>
  <c r="I33" i="35"/>
  <c r="I36" i="35"/>
  <c r="K37" i="35"/>
  <c r="I39" i="35"/>
  <c r="I46" i="35"/>
  <c r="I49" i="35"/>
  <c r="K50" i="35"/>
  <c r="I52" i="35"/>
  <c r="K60" i="35"/>
  <c r="I62" i="35"/>
  <c r="K63" i="35"/>
  <c r="I65" i="35"/>
  <c r="K73" i="35"/>
  <c r="I75" i="35"/>
  <c r="K76" i="35"/>
  <c r="I78" i="35"/>
  <c r="I85" i="35"/>
  <c r="J88" i="35"/>
  <c r="I91" i="35"/>
  <c r="J46" i="35"/>
  <c r="J49" i="35"/>
  <c r="J85" i="35"/>
  <c r="K21" i="35"/>
  <c r="K23" i="35"/>
  <c r="K25" i="35"/>
  <c r="K33" i="35"/>
  <c r="I35" i="35"/>
  <c r="K36" i="35"/>
  <c r="K39" i="35"/>
  <c r="K46" i="35"/>
  <c r="I48" i="35"/>
  <c r="K49" i="35"/>
  <c r="K52" i="35"/>
  <c r="J59" i="35"/>
  <c r="K62" i="35"/>
  <c r="K65" i="35"/>
  <c r="J72" i="35"/>
  <c r="K75" i="35"/>
  <c r="K78" i="35"/>
  <c r="K85" i="35"/>
  <c r="I87" i="35"/>
  <c r="K91" i="35"/>
  <c r="J35" i="35"/>
  <c r="I38" i="35"/>
  <c r="J48" i="35"/>
  <c r="I51" i="35"/>
  <c r="K59" i="35"/>
  <c r="I61" i="35"/>
  <c r="I64" i="35"/>
  <c r="K72" i="35"/>
  <c r="I74" i="35"/>
  <c r="I77" i="35"/>
  <c r="J87" i="35"/>
  <c r="I90" i="35"/>
  <c r="K88" i="35"/>
  <c r="J91" i="35"/>
  <c r="I20" i="35"/>
  <c r="I22" i="35"/>
  <c r="I24" i="35"/>
  <c r="K35" i="35"/>
  <c r="K48" i="35"/>
  <c r="J61" i="35"/>
  <c r="J74" i="35"/>
  <c r="K87" i="35"/>
  <c r="J7" i="35"/>
  <c r="I11" i="35"/>
  <c r="J12" i="35"/>
  <c r="K13" i="35"/>
  <c r="I10" i="35"/>
  <c r="J10" i="35"/>
  <c r="K11" i="35"/>
  <c r="I9" i="35"/>
  <c r="K10" i="35"/>
  <c r="Q108" i="35"/>
  <c r="J11" i="35"/>
  <c r="K12" i="35"/>
  <c r="I8" i="35"/>
  <c r="J8" i="35"/>
  <c r="K9" i="35"/>
  <c r="K7" i="35"/>
  <c r="K8" i="35"/>
  <c r="Q106" i="35"/>
  <c r="H66" i="35"/>
  <c r="I31" i="33"/>
  <c r="J31" i="33"/>
  <c r="I34" i="33"/>
  <c r="J34" i="33"/>
  <c r="J31" i="34"/>
  <c r="H30" i="34"/>
  <c r="I33" i="34"/>
  <c r="J33" i="34"/>
  <c r="D30" i="34"/>
  <c r="D40" i="34" s="1"/>
  <c r="D50" i="34" s="1"/>
  <c r="D60" i="34" s="1"/>
  <c r="D32" i="34"/>
  <c r="D42" i="34" s="1"/>
  <c r="D52" i="34" s="1"/>
  <c r="D62" i="34" s="1"/>
  <c r="I34" i="34"/>
  <c r="I44" i="34" s="1"/>
  <c r="I54" i="34" s="1"/>
  <c r="D33" i="34"/>
  <c r="D43" i="34" s="1"/>
  <c r="D73" i="34" s="1"/>
  <c r="I31" i="34"/>
  <c r="J34" i="34"/>
  <c r="D34" i="34"/>
  <c r="D44" i="34" s="1"/>
  <c r="D74" i="34" s="1"/>
  <c r="H30" i="33"/>
  <c r="I25" i="33"/>
  <c r="I33" i="33"/>
  <c r="J33" i="33"/>
  <c r="D30" i="33"/>
  <c r="D40" i="33" s="1"/>
  <c r="D70" i="33" s="1"/>
  <c r="D32" i="33"/>
  <c r="D42" i="33" s="1"/>
  <c r="D52" i="33" s="1"/>
  <c r="D62" i="33" s="1"/>
  <c r="C73" i="34"/>
  <c r="C53" i="34"/>
  <c r="C63" i="34" s="1"/>
  <c r="C70" i="34"/>
  <c r="C50" i="34"/>
  <c r="C60" i="34" s="1"/>
  <c r="D69" i="34"/>
  <c r="D49" i="34"/>
  <c r="D59" i="34" s="1"/>
  <c r="C72" i="34"/>
  <c r="C52" i="34"/>
  <c r="C62" i="34" s="1"/>
  <c r="E69" i="34"/>
  <c r="E49" i="34"/>
  <c r="E59" i="34" s="1"/>
  <c r="C74" i="34"/>
  <c r="C54" i="34"/>
  <c r="C64" i="34" s="1"/>
  <c r="D71" i="34"/>
  <c r="D51" i="34"/>
  <c r="D61" i="34" s="1"/>
  <c r="C71" i="34"/>
  <c r="C51" i="34"/>
  <c r="C61" i="34" s="1"/>
  <c r="F69" i="34"/>
  <c r="F49" i="34"/>
  <c r="F59" i="34" s="1"/>
  <c r="J59" i="34" s="1"/>
  <c r="J20" i="34"/>
  <c r="J39" i="34" s="1"/>
  <c r="J49" i="34" s="1"/>
  <c r="J22" i="34"/>
  <c r="J24" i="34"/>
  <c r="J25" i="34"/>
  <c r="E30" i="34"/>
  <c r="E40" i="34" s="1"/>
  <c r="E31" i="34"/>
  <c r="E41" i="34" s="1"/>
  <c r="E32" i="34"/>
  <c r="E42" i="34" s="1"/>
  <c r="E33" i="34"/>
  <c r="E43" i="34" s="1"/>
  <c r="E34" i="34"/>
  <c r="E44" i="34" s="1"/>
  <c r="F30" i="34"/>
  <c r="F40" i="34" s="1"/>
  <c r="F31" i="34"/>
  <c r="F41" i="34" s="1"/>
  <c r="F32" i="34"/>
  <c r="F42" i="34" s="1"/>
  <c r="F33" i="34"/>
  <c r="F43" i="34" s="1"/>
  <c r="F34" i="34"/>
  <c r="F44" i="34" s="1"/>
  <c r="C29" i="34"/>
  <c r="C39" i="34" s="1"/>
  <c r="G30" i="34"/>
  <c r="G31" i="34"/>
  <c r="G32" i="34"/>
  <c r="D74" i="33"/>
  <c r="D54" i="33"/>
  <c r="D64" i="33" s="1"/>
  <c r="C73" i="33"/>
  <c r="C53" i="33"/>
  <c r="C63" i="33" s="1"/>
  <c r="D69" i="33"/>
  <c r="D49" i="33"/>
  <c r="D59" i="33" s="1"/>
  <c r="C72" i="33"/>
  <c r="C52" i="33"/>
  <c r="C62" i="33" s="1"/>
  <c r="C70" i="33"/>
  <c r="C50" i="33"/>
  <c r="C60" i="33" s="1"/>
  <c r="E69" i="33"/>
  <c r="E49" i="33"/>
  <c r="E59" i="33" s="1"/>
  <c r="D71" i="33"/>
  <c r="D51" i="33"/>
  <c r="D61" i="33" s="1"/>
  <c r="F69" i="33"/>
  <c r="F49" i="33"/>
  <c r="F59" i="33" s="1"/>
  <c r="J59" i="33" s="1"/>
  <c r="C71" i="33"/>
  <c r="C51" i="33"/>
  <c r="C61" i="33" s="1"/>
  <c r="C74" i="33"/>
  <c r="C54" i="33"/>
  <c r="C64" i="33" s="1"/>
  <c r="D73" i="33"/>
  <c r="D53" i="33"/>
  <c r="D63" i="33" s="1"/>
  <c r="J20" i="33"/>
  <c r="J39" i="33" s="1"/>
  <c r="J49" i="33" s="1"/>
  <c r="J22" i="33"/>
  <c r="J24" i="33"/>
  <c r="J25" i="33"/>
  <c r="E30" i="33"/>
  <c r="E40" i="33" s="1"/>
  <c r="E31" i="33"/>
  <c r="E41" i="33" s="1"/>
  <c r="E32" i="33"/>
  <c r="E42" i="33" s="1"/>
  <c r="E33" i="33"/>
  <c r="E43" i="33" s="1"/>
  <c r="E34" i="33"/>
  <c r="E44" i="33" s="1"/>
  <c r="F30" i="33"/>
  <c r="F40" i="33" s="1"/>
  <c r="F31" i="33"/>
  <c r="F41" i="33" s="1"/>
  <c r="F32" i="33"/>
  <c r="F42" i="33" s="1"/>
  <c r="F33" i="33"/>
  <c r="F43" i="33" s="1"/>
  <c r="F34" i="33"/>
  <c r="F44" i="33" s="1"/>
  <c r="C29" i="33"/>
  <c r="C39" i="33" s="1"/>
  <c r="G30" i="33"/>
  <c r="G31" i="33"/>
  <c r="G32" i="33"/>
  <c r="F15" i="32"/>
  <c r="G15" i="32" s="1"/>
  <c r="F16" i="32"/>
  <c r="G16" i="32" s="1"/>
  <c r="F9" i="32"/>
  <c r="G9" i="32" s="1"/>
  <c r="F17" i="32"/>
  <c r="G17" i="32" s="1"/>
  <c r="F13" i="32"/>
  <c r="G13" i="32" s="1"/>
  <c r="F10" i="32"/>
  <c r="G10" i="32" s="1"/>
  <c r="F18" i="32"/>
  <c r="G18" i="32" s="1"/>
  <c r="F14" i="32"/>
  <c r="G14" i="32" s="1"/>
  <c r="F11" i="32"/>
  <c r="G11" i="32" s="1"/>
  <c r="F19" i="32"/>
  <c r="G19" i="32" s="1"/>
  <c r="C23" i="32" s="1"/>
  <c r="C30" i="32"/>
  <c r="D30" i="32"/>
  <c r="E30" i="32"/>
  <c r="F30" i="32"/>
  <c r="G30" i="32"/>
  <c r="H30" i="32"/>
  <c r="I30" i="32"/>
  <c r="B30" i="32"/>
  <c r="D33" i="32"/>
  <c r="B33" i="32"/>
  <c r="F44" i="32"/>
  <c r="J44" i="32" s="1"/>
  <c r="E44" i="32"/>
  <c r="I44" i="32" s="1"/>
  <c r="D44" i="32"/>
  <c r="C44" i="32"/>
  <c r="F43" i="32"/>
  <c r="E43" i="32"/>
  <c r="D43" i="32"/>
  <c r="C43" i="32"/>
  <c r="C52" i="32" s="1"/>
  <c r="C62" i="32" s="1"/>
  <c r="C92" i="32" s="1"/>
  <c r="F42" i="32"/>
  <c r="E42" i="32"/>
  <c r="D42" i="32"/>
  <c r="C42" i="32"/>
  <c r="F41" i="32"/>
  <c r="E41" i="32"/>
  <c r="E50" i="32" s="1"/>
  <c r="E60" i="32" s="1"/>
  <c r="E90" i="32" s="1"/>
  <c r="D41" i="32"/>
  <c r="D50" i="32" s="1"/>
  <c r="D60" i="32" s="1"/>
  <c r="D90" i="32" s="1"/>
  <c r="C41" i="32"/>
  <c r="C50" i="32" s="1"/>
  <c r="C60" i="32" s="1"/>
  <c r="C90" i="32" s="1"/>
  <c r="F40" i="32"/>
  <c r="E40" i="32"/>
  <c r="E49" i="32" s="1"/>
  <c r="E59" i="32" s="1"/>
  <c r="E89" i="32" s="1"/>
  <c r="D40" i="32"/>
  <c r="C40" i="32"/>
  <c r="F39" i="32"/>
  <c r="F48" i="32" s="1"/>
  <c r="F58" i="32" s="1"/>
  <c r="E39" i="32"/>
  <c r="E48" i="32" s="1"/>
  <c r="E58" i="32" s="1"/>
  <c r="D39" i="32"/>
  <c r="D48" i="32" s="1"/>
  <c r="D58" i="32" s="1"/>
  <c r="C39" i="32"/>
  <c r="C48" i="32" s="1"/>
  <c r="C58" i="32" s="1"/>
  <c r="I28" i="32"/>
  <c r="H28" i="32"/>
  <c r="G28" i="32"/>
  <c r="F28" i="32"/>
  <c r="E28" i="32"/>
  <c r="D28" i="32"/>
  <c r="C28" i="32"/>
  <c r="I27" i="32"/>
  <c r="H27" i="32"/>
  <c r="G27" i="32"/>
  <c r="F27" i="32"/>
  <c r="E27" i="32"/>
  <c r="D27" i="32"/>
  <c r="C27" i="32"/>
  <c r="D72" i="33" l="1"/>
  <c r="D53" i="34"/>
  <c r="D63" i="34" s="1"/>
  <c r="D50" i="33"/>
  <c r="D60" i="33" s="1"/>
  <c r="J41" i="33"/>
  <c r="J51" i="33" s="1"/>
  <c r="J44" i="34"/>
  <c r="J54" i="34" s="1"/>
  <c r="J41" i="34"/>
  <c r="J51" i="34" s="1"/>
  <c r="D72" i="34"/>
  <c r="I44" i="33"/>
  <c r="I54" i="33" s="1"/>
  <c r="J43" i="34"/>
  <c r="J53" i="34" s="1"/>
  <c r="D70" i="34"/>
  <c r="J69" i="33"/>
  <c r="J44" i="33"/>
  <c r="J54" i="33" s="1"/>
  <c r="D54" i="34"/>
  <c r="D64" i="34" s="1"/>
  <c r="J43" i="33"/>
  <c r="J53" i="33" s="1"/>
  <c r="E72" i="34"/>
  <c r="E52" i="34"/>
  <c r="E62" i="34" s="1"/>
  <c r="F74" i="34"/>
  <c r="F54" i="34"/>
  <c r="F64" i="34" s="1"/>
  <c r="J64" i="34" s="1"/>
  <c r="E71" i="34"/>
  <c r="E51" i="34"/>
  <c r="E61" i="34" s="1"/>
  <c r="C69" i="34"/>
  <c r="C49" i="34"/>
  <c r="C59" i="34" s="1"/>
  <c r="F73" i="34"/>
  <c r="F53" i="34"/>
  <c r="F63" i="34" s="1"/>
  <c r="J63" i="34" s="1"/>
  <c r="E70" i="34"/>
  <c r="E50" i="34"/>
  <c r="E60" i="34" s="1"/>
  <c r="F72" i="34"/>
  <c r="F52" i="34"/>
  <c r="F62" i="34" s="1"/>
  <c r="F50" i="34"/>
  <c r="F60" i="34" s="1"/>
  <c r="F70" i="34"/>
  <c r="E73" i="34"/>
  <c r="E53" i="34"/>
  <c r="E63" i="34" s="1"/>
  <c r="F71" i="34"/>
  <c r="F51" i="34"/>
  <c r="F61" i="34" s="1"/>
  <c r="J61" i="34" s="1"/>
  <c r="E74" i="34"/>
  <c r="E54" i="34"/>
  <c r="E64" i="34" s="1"/>
  <c r="I64" i="34" s="1"/>
  <c r="J69" i="34"/>
  <c r="F74" i="33"/>
  <c r="F54" i="33"/>
  <c r="F64" i="33" s="1"/>
  <c r="J64" i="33" s="1"/>
  <c r="E72" i="33"/>
  <c r="E52" i="33"/>
  <c r="E62" i="33" s="1"/>
  <c r="F73" i="33"/>
  <c r="F53" i="33"/>
  <c r="F63" i="33" s="1"/>
  <c r="J63" i="33" s="1"/>
  <c r="E71" i="33"/>
  <c r="E51" i="33"/>
  <c r="E61" i="33" s="1"/>
  <c r="C69" i="33"/>
  <c r="C49" i="33"/>
  <c r="C59" i="33" s="1"/>
  <c r="F72" i="33"/>
  <c r="F52" i="33"/>
  <c r="F62" i="33" s="1"/>
  <c r="E70" i="33"/>
  <c r="E50" i="33"/>
  <c r="E60" i="33" s="1"/>
  <c r="E73" i="33"/>
  <c r="E53" i="33"/>
  <c r="E63" i="33" s="1"/>
  <c r="F71" i="33"/>
  <c r="F51" i="33"/>
  <c r="F61" i="33" s="1"/>
  <c r="J61" i="33" s="1"/>
  <c r="F50" i="33"/>
  <c r="F60" i="33" s="1"/>
  <c r="F70" i="33"/>
  <c r="E74" i="33"/>
  <c r="E54" i="33"/>
  <c r="E64" i="33" s="1"/>
  <c r="I64" i="33" s="1"/>
  <c r="F68" i="32"/>
  <c r="F78" i="32" s="1"/>
  <c r="J78" i="32" s="1"/>
  <c r="F88" i="32"/>
  <c r="G49" i="32"/>
  <c r="C68" i="32"/>
  <c r="C78" i="32" s="1"/>
  <c r="C88" i="32"/>
  <c r="D68" i="32"/>
  <c r="D78" i="32" s="1"/>
  <c r="D88" i="32"/>
  <c r="E68" i="32"/>
  <c r="E78" i="32" s="1"/>
  <c r="E88" i="32"/>
  <c r="E70" i="32"/>
  <c r="E80" i="32" s="1"/>
  <c r="D70" i="32"/>
  <c r="D80" i="32" s="1"/>
  <c r="C72" i="32"/>
  <c r="C82" i="32" s="1"/>
  <c r="C70" i="32"/>
  <c r="C80" i="32" s="1"/>
  <c r="E69" i="32"/>
  <c r="E79" i="32" s="1"/>
  <c r="G51" i="32"/>
  <c r="D53" i="32"/>
  <c r="D63" i="32" s="1"/>
  <c r="D93" i="32" s="1"/>
  <c r="E52" i="32"/>
  <c r="E62" i="32" s="1"/>
  <c r="E92" i="32" s="1"/>
  <c r="F49" i="32"/>
  <c r="F59" i="32" s="1"/>
  <c r="F89" i="32" s="1"/>
  <c r="C53" i="32"/>
  <c r="C63" i="32" s="1"/>
  <c r="C93" i="32" s="1"/>
  <c r="F52" i="32"/>
  <c r="F62" i="32" s="1"/>
  <c r="F92" i="32" s="1"/>
  <c r="C51" i="32"/>
  <c r="C61" i="32" s="1"/>
  <c r="C91" i="32" s="1"/>
  <c r="D52" i="32"/>
  <c r="D62" i="32" s="1"/>
  <c r="D92" i="32" s="1"/>
  <c r="F51" i="32"/>
  <c r="F61" i="32" s="1"/>
  <c r="F91" i="32" s="1"/>
  <c r="D49" i="32"/>
  <c r="D59" i="32" s="1"/>
  <c r="D89" i="32" s="1"/>
  <c r="C49" i="32"/>
  <c r="C59" i="32" s="1"/>
  <c r="C89" i="32" s="1"/>
  <c r="E51" i="32"/>
  <c r="E61" i="32" s="1"/>
  <c r="E91" i="32" s="1"/>
  <c r="F53" i="32"/>
  <c r="F63" i="32" s="1"/>
  <c r="F93" i="32" s="1"/>
  <c r="D51" i="32"/>
  <c r="D61" i="32" s="1"/>
  <c r="D91" i="32" s="1"/>
  <c r="E53" i="32"/>
  <c r="E63" i="32" s="1"/>
  <c r="E93" i="32" s="1"/>
  <c r="F50" i="32"/>
  <c r="F60" i="32" s="1"/>
  <c r="F90" i="32" s="1"/>
  <c r="G50" i="32"/>
  <c r="I50" i="32"/>
  <c r="J53" i="32"/>
  <c r="J63" i="32" s="1"/>
  <c r="J73" i="32" s="1"/>
  <c r="J52" i="32"/>
  <c r="J50" i="32"/>
  <c r="I53" i="32"/>
  <c r="I63" i="32" s="1"/>
  <c r="I73" i="32" s="1"/>
  <c r="I52" i="32"/>
  <c r="H49" i="32"/>
  <c r="J41" i="32"/>
  <c r="J39" i="32"/>
  <c r="J58" i="32" s="1"/>
  <c r="J68" i="32" s="1"/>
  <c r="J43" i="32"/>
  <c r="S3" i="31"/>
  <c r="I74" i="34" l="1"/>
  <c r="J71" i="34"/>
  <c r="J74" i="34"/>
  <c r="I74" i="33"/>
  <c r="J73" i="34"/>
  <c r="J73" i="33"/>
  <c r="J71" i="33"/>
  <c r="J74" i="33"/>
  <c r="J88" i="32"/>
  <c r="F73" i="32"/>
  <c r="F83" i="32" s="1"/>
  <c r="J83" i="32" s="1"/>
  <c r="J93" i="32" s="1"/>
  <c r="C73" i="32"/>
  <c r="C83" i="32" s="1"/>
  <c r="E71" i="32"/>
  <c r="E81" i="32" s="1"/>
  <c r="C69" i="32"/>
  <c r="C79" i="32" s="1"/>
  <c r="D69" i="32"/>
  <c r="D79" i="32" s="1"/>
  <c r="D73" i="32"/>
  <c r="D83" i="32" s="1"/>
  <c r="E72" i="32"/>
  <c r="E82" i="32" s="1"/>
  <c r="F71" i="32"/>
  <c r="F81" i="32" s="1"/>
  <c r="F70" i="32"/>
  <c r="F80" i="32" s="1"/>
  <c r="J80" i="32" s="1"/>
  <c r="J90" i="32" s="1"/>
  <c r="D72" i="32"/>
  <c r="D82" i="32" s="1"/>
  <c r="E73" i="32"/>
  <c r="E83" i="32" s="1"/>
  <c r="I83" i="32" s="1"/>
  <c r="I93" i="32" s="1"/>
  <c r="C71" i="32"/>
  <c r="C81" i="32" s="1"/>
  <c r="F69" i="32"/>
  <c r="F79" i="32" s="1"/>
  <c r="D71" i="32"/>
  <c r="D81" i="32" s="1"/>
  <c r="F72" i="32"/>
  <c r="F82" i="32" s="1"/>
  <c r="J82" i="32" s="1"/>
  <c r="J92" i="32" s="1"/>
  <c r="J62" i="32"/>
  <c r="J72" i="32" s="1"/>
  <c r="J60" i="32"/>
  <c r="J70" i="32" s="1"/>
  <c r="J78" i="31"/>
  <c r="J79" i="31"/>
  <c r="J80" i="31"/>
  <c r="J81" i="31"/>
  <c r="J82" i="31"/>
  <c r="J83" i="31"/>
  <c r="J77" i="31"/>
  <c r="Q8" i="31" s="1"/>
  <c r="Q9" i="31"/>
  <c r="Q10" i="31"/>
  <c r="Q11" i="31"/>
  <c r="Q12" i="31"/>
  <c r="Q13" i="31"/>
  <c r="Q14" i="31"/>
  <c r="C18" i="31"/>
  <c r="C35" i="31" s="1"/>
  <c r="C52" i="31" s="1"/>
  <c r="C69" i="31" s="1"/>
  <c r="C86" i="31" s="1"/>
  <c r="C103" i="31" s="1"/>
  <c r="P19" i="31"/>
  <c r="O19" i="31"/>
  <c r="N19" i="31"/>
  <c r="M19" i="31"/>
  <c r="S5" i="31"/>
  <c r="R5" i="31"/>
  <c r="Q5" i="31"/>
  <c r="P5" i="31"/>
  <c r="O5" i="31"/>
  <c r="N5" i="31"/>
  <c r="M5" i="31"/>
  <c r="S4" i="31"/>
  <c r="R4" i="31"/>
  <c r="Q4" i="31"/>
  <c r="P4" i="31"/>
  <c r="O4" i="31"/>
  <c r="N4" i="31"/>
  <c r="M4" i="31"/>
  <c r="J110" i="31"/>
  <c r="C111" i="31"/>
  <c r="C112" i="31"/>
  <c r="J93" i="31"/>
  <c r="R3" i="31" s="1"/>
  <c r="G94" i="31"/>
  <c r="G95" i="31"/>
  <c r="G96" i="31"/>
  <c r="G97" i="31"/>
  <c r="G98" i="31"/>
  <c r="G99" i="31"/>
  <c r="G100" i="31"/>
  <c r="C100" i="31"/>
  <c r="C99" i="31"/>
  <c r="C98" i="31"/>
  <c r="C97" i="31"/>
  <c r="C96" i="31"/>
  <c r="C95" i="31"/>
  <c r="C94" i="31"/>
  <c r="C66" i="31"/>
  <c r="C65" i="31"/>
  <c r="C64" i="31"/>
  <c r="C63" i="31"/>
  <c r="C62" i="31"/>
  <c r="C61" i="31"/>
  <c r="C60" i="31"/>
  <c r="C59" i="31"/>
  <c r="J59" i="31" s="1"/>
  <c r="P3" i="31" s="1"/>
  <c r="J42" i="31"/>
  <c r="O3" i="31" s="1"/>
  <c r="J8" i="31"/>
  <c r="M3" i="31" s="1"/>
  <c r="J109" i="31"/>
  <c r="J92" i="31"/>
  <c r="J41" i="31"/>
  <c r="J7" i="31"/>
  <c r="C43" i="31"/>
  <c r="C49" i="31"/>
  <c r="C48" i="31"/>
  <c r="C47" i="31"/>
  <c r="C46" i="31"/>
  <c r="C45" i="31"/>
  <c r="C44" i="31"/>
  <c r="G25" i="31"/>
  <c r="J25" i="31" s="1"/>
  <c r="N3" i="31" s="1"/>
  <c r="C32" i="31"/>
  <c r="C31" i="31"/>
  <c r="C30" i="31"/>
  <c r="C29" i="31"/>
  <c r="C28" i="31"/>
  <c r="C27" i="31"/>
  <c r="C26" i="31"/>
  <c r="J76" i="31"/>
  <c r="J75" i="31" s="1"/>
  <c r="Q2" i="31" s="1"/>
  <c r="G9" i="31"/>
  <c r="G10" i="31"/>
  <c r="G11" i="31"/>
  <c r="C9" i="31"/>
  <c r="C10" i="31"/>
  <c r="C11" i="31"/>
  <c r="G117" i="31"/>
  <c r="C117" i="31"/>
  <c r="G116" i="31"/>
  <c r="C116" i="31"/>
  <c r="G115" i="31"/>
  <c r="C115" i="31"/>
  <c r="G114" i="31"/>
  <c r="C114" i="31"/>
  <c r="G113" i="31"/>
  <c r="C113" i="31"/>
  <c r="G112" i="31"/>
  <c r="G111" i="31"/>
  <c r="G83" i="31"/>
  <c r="C83" i="31"/>
  <c r="G82" i="31"/>
  <c r="C82" i="31"/>
  <c r="G81" i="31"/>
  <c r="C81" i="31"/>
  <c r="G80" i="31"/>
  <c r="C80" i="31"/>
  <c r="G79" i="31"/>
  <c r="C79" i="31"/>
  <c r="G78" i="31"/>
  <c r="C78" i="31"/>
  <c r="G77" i="31"/>
  <c r="C77" i="31"/>
  <c r="G66" i="31"/>
  <c r="G65" i="31"/>
  <c r="G64" i="31"/>
  <c r="G63" i="31"/>
  <c r="G62" i="31"/>
  <c r="G61" i="31"/>
  <c r="G60" i="31"/>
  <c r="G49" i="31"/>
  <c r="J49" i="31" s="1"/>
  <c r="G48" i="31"/>
  <c r="G47" i="31"/>
  <c r="G46" i="31"/>
  <c r="G45" i="31"/>
  <c r="G44" i="31"/>
  <c r="G43" i="31"/>
  <c r="B18" i="31"/>
  <c r="B35" i="31" s="1"/>
  <c r="B52" i="31" s="1"/>
  <c r="B69" i="31" s="1"/>
  <c r="B86" i="31" s="1"/>
  <c r="B103" i="31" s="1"/>
  <c r="G32" i="31"/>
  <c r="G31" i="31"/>
  <c r="G30" i="31"/>
  <c r="G29" i="31"/>
  <c r="G28" i="31"/>
  <c r="G27" i="31"/>
  <c r="G26" i="31"/>
  <c r="G15" i="31"/>
  <c r="G14" i="31"/>
  <c r="G13" i="31"/>
  <c r="G12" i="31"/>
  <c r="C12" i="31"/>
  <c r="J12" i="31" s="1"/>
  <c r="C13" i="31"/>
  <c r="C14" i="31"/>
  <c r="C15" i="31"/>
  <c r="B55" i="12"/>
  <c r="D41" i="12"/>
  <c r="D55" i="12" s="1"/>
  <c r="E41" i="12"/>
  <c r="E55" i="12" s="1"/>
  <c r="F41" i="12"/>
  <c r="F55" i="12" s="1"/>
  <c r="G41" i="12"/>
  <c r="G55" i="12" s="1"/>
  <c r="H41" i="12"/>
  <c r="H55" i="12" s="1"/>
  <c r="I41" i="12"/>
  <c r="I55" i="12" s="1"/>
  <c r="C41" i="12"/>
  <c r="C55" i="12" s="1"/>
  <c r="E26" i="32" l="1"/>
  <c r="H41" i="32" s="1"/>
  <c r="E7" i="33"/>
  <c r="E7" i="34"/>
  <c r="C26" i="32"/>
  <c r="G42" i="32" s="1"/>
  <c r="G61" i="32" s="1"/>
  <c r="G71" i="32" s="1"/>
  <c r="G81" i="32" s="1"/>
  <c r="G91" i="32" s="1"/>
  <c r="C7" i="33"/>
  <c r="C7" i="34"/>
  <c r="H26" i="32"/>
  <c r="H43" i="32" s="1"/>
  <c r="H7" i="33"/>
  <c r="H7" i="34"/>
  <c r="I26" i="32"/>
  <c r="J40" i="32" s="1"/>
  <c r="I7" i="33"/>
  <c r="I7" i="34"/>
  <c r="P20" i="31"/>
  <c r="P21" i="31" s="1"/>
  <c r="P22" i="31" s="1"/>
  <c r="P23" i="31" s="1"/>
  <c r="P24" i="31" s="1"/>
  <c r="P25" i="31" s="1"/>
  <c r="P26" i="31" s="1"/>
  <c r="P27" i="31" s="1"/>
  <c r="P28" i="31" s="1"/>
  <c r="T22" i="31"/>
  <c r="T21" i="31"/>
  <c r="T24" i="31"/>
  <c r="T19" i="31"/>
  <c r="T28" i="31"/>
  <c r="T27" i="31"/>
  <c r="T20" i="31"/>
  <c r="T26" i="31"/>
  <c r="T25" i="31"/>
  <c r="T23" i="31"/>
  <c r="Q23" i="31"/>
  <c r="Q22" i="31"/>
  <c r="Q21" i="31"/>
  <c r="Q20" i="31"/>
  <c r="M20" i="31"/>
  <c r="M21" i="31" s="1"/>
  <c r="M22" i="31" s="1"/>
  <c r="M23" i="31" s="1"/>
  <c r="M24" i="31" s="1"/>
  <c r="M25" i="31" s="1"/>
  <c r="M26" i="31" s="1"/>
  <c r="M27" i="31" s="1"/>
  <c r="M28" i="31" s="1"/>
  <c r="Q19" i="31"/>
  <c r="Q25" i="31"/>
  <c r="Q28" i="31"/>
  <c r="Q27" i="31"/>
  <c r="Q26" i="31"/>
  <c r="Q24" i="31"/>
  <c r="R22" i="31"/>
  <c r="R19" i="31"/>
  <c r="R21" i="31"/>
  <c r="R28" i="31"/>
  <c r="R27" i="31"/>
  <c r="R26" i="31"/>
  <c r="R24" i="31"/>
  <c r="R23" i="31"/>
  <c r="R25" i="31"/>
  <c r="R20" i="31"/>
  <c r="N20" i="31"/>
  <c r="N21" i="31" s="1"/>
  <c r="N22" i="31" s="1"/>
  <c r="N23" i="31" s="1"/>
  <c r="N24" i="31" s="1"/>
  <c r="N25" i="31" s="1"/>
  <c r="N26" i="31" s="1"/>
  <c r="N27" i="31" s="1"/>
  <c r="N28" i="31" s="1"/>
  <c r="S22" i="31"/>
  <c r="S19" i="31"/>
  <c r="S21" i="31"/>
  <c r="S28" i="31"/>
  <c r="O20" i="31"/>
  <c r="O21" i="31" s="1"/>
  <c r="O22" i="31" s="1"/>
  <c r="O23" i="31" s="1"/>
  <c r="O24" i="31" s="1"/>
  <c r="O25" i="31" s="1"/>
  <c r="O26" i="31" s="1"/>
  <c r="O27" i="31" s="1"/>
  <c r="O28" i="31" s="1"/>
  <c r="S23" i="31"/>
  <c r="S24" i="31"/>
  <c r="S27" i="31"/>
  <c r="S26" i="31"/>
  <c r="S20" i="31"/>
  <c r="S25" i="31"/>
  <c r="M2" i="31"/>
  <c r="Q3" i="31"/>
  <c r="O2" i="31"/>
  <c r="O14" i="31"/>
  <c r="R2" i="31"/>
  <c r="S2" i="31"/>
  <c r="M11" i="31"/>
  <c r="J112" i="31"/>
  <c r="S9" i="31" s="1"/>
  <c r="J100" i="31"/>
  <c r="J62" i="31"/>
  <c r="J61" i="31"/>
  <c r="J45" i="31"/>
  <c r="J97" i="31"/>
  <c r="J29" i="31"/>
  <c r="J46" i="31"/>
  <c r="J11" i="31"/>
  <c r="J63" i="31"/>
  <c r="J64" i="31"/>
  <c r="J9" i="31"/>
  <c r="J95" i="31"/>
  <c r="J113" i="31"/>
  <c r="S10" i="31" s="1"/>
  <c r="J58" i="31"/>
  <c r="J32" i="31"/>
  <c r="J99" i="31"/>
  <c r="J30" i="31"/>
  <c r="J14" i="31"/>
  <c r="J66" i="31"/>
  <c r="J48" i="31"/>
  <c r="J98" i="31"/>
  <c r="C118" i="31"/>
  <c r="J28" i="31"/>
  <c r="J115" i="31"/>
  <c r="S12" i="31" s="1"/>
  <c r="J13" i="31"/>
  <c r="J44" i="31"/>
  <c r="J24" i="31"/>
  <c r="C67" i="31"/>
  <c r="J47" i="31"/>
  <c r="C84" i="31"/>
  <c r="J84" i="31" s="1"/>
  <c r="G101" i="31"/>
  <c r="G84" i="31"/>
  <c r="J117" i="31"/>
  <c r="S14" i="31" s="1"/>
  <c r="C101" i="31"/>
  <c r="J114" i="31"/>
  <c r="S11" i="31" s="1"/>
  <c r="G118" i="31"/>
  <c r="J116" i="31"/>
  <c r="S13" i="31" s="1"/>
  <c r="J96" i="31"/>
  <c r="G67" i="31"/>
  <c r="J65" i="31"/>
  <c r="G50" i="31"/>
  <c r="C50" i="31"/>
  <c r="C33" i="31"/>
  <c r="J15" i="31"/>
  <c r="C16" i="31"/>
  <c r="J111" i="31"/>
  <c r="S8" i="31" s="1"/>
  <c r="J94" i="31"/>
  <c r="J60" i="31"/>
  <c r="J43" i="31"/>
  <c r="O8" i="31" s="1"/>
  <c r="J10" i="31"/>
  <c r="J31" i="31"/>
  <c r="G16" i="31"/>
  <c r="G33" i="31"/>
  <c r="J27" i="31"/>
  <c r="J26" i="31"/>
  <c r="G39" i="32" l="1"/>
  <c r="G58" i="32" s="1"/>
  <c r="G68" i="32" s="1"/>
  <c r="G78" i="32" s="1"/>
  <c r="G88" i="32" s="1"/>
  <c r="G40" i="32"/>
  <c r="G59" i="32" s="1"/>
  <c r="G69" i="32" s="1"/>
  <c r="G79" i="32" s="1"/>
  <c r="G89" i="32" s="1"/>
  <c r="H42" i="32"/>
  <c r="G41" i="32"/>
  <c r="G60" i="32" s="1"/>
  <c r="G70" i="32" s="1"/>
  <c r="G80" i="32" s="1"/>
  <c r="G90" i="32" s="1"/>
  <c r="I40" i="32"/>
  <c r="I42" i="32"/>
  <c r="U25" i="31"/>
  <c r="J42" i="32"/>
  <c r="I21" i="33"/>
  <c r="H24" i="33"/>
  <c r="I23" i="33"/>
  <c r="H44" i="32"/>
  <c r="G20" i="34"/>
  <c r="G39" i="34" s="1"/>
  <c r="G49" i="34" s="1"/>
  <c r="G59" i="34" s="1"/>
  <c r="G69" i="34" s="1"/>
  <c r="G21" i="34"/>
  <c r="G40" i="34" s="1"/>
  <c r="G50" i="34" s="1"/>
  <c r="G60" i="34" s="1"/>
  <c r="G70" i="34" s="1"/>
  <c r="G22" i="34"/>
  <c r="G41" i="34" s="1"/>
  <c r="G51" i="34" s="1"/>
  <c r="G61" i="34" s="1"/>
  <c r="G71" i="34" s="1"/>
  <c r="G23" i="34"/>
  <c r="G42" i="34" s="1"/>
  <c r="G52" i="34" s="1"/>
  <c r="G62" i="34" s="1"/>
  <c r="G72" i="34" s="1"/>
  <c r="G20" i="33"/>
  <c r="G39" i="33" s="1"/>
  <c r="G49" i="33" s="1"/>
  <c r="G59" i="33" s="1"/>
  <c r="G69" i="33" s="1"/>
  <c r="G21" i="33"/>
  <c r="G40" i="33" s="1"/>
  <c r="G50" i="33" s="1"/>
  <c r="G60" i="33" s="1"/>
  <c r="G70" i="33" s="1"/>
  <c r="G22" i="33"/>
  <c r="G41" i="33" s="1"/>
  <c r="G51" i="33" s="1"/>
  <c r="G61" i="33" s="1"/>
  <c r="G71" i="33" s="1"/>
  <c r="G23" i="33"/>
  <c r="G42" i="33" s="1"/>
  <c r="G52" i="33" s="1"/>
  <c r="G62" i="33" s="1"/>
  <c r="G72" i="33" s="1"/>
  <c r="H25" i="34"/>
  <c r="J23" i="34"/>
  <c r="J21" i="34"/>
  <c r="G26" i="32"/>
  <c r="G44" i="32" s="1"/>
  <c r="G7" i="33"/>
  <c r="G7" i="34"/>
  <c r="U24" i="31"/>
  <c r="U21" i="31"/>
  <c r="H25" i="33"/>
  <c r="J23" i="33"/>
  <c r="J21" i="33"/>
  <c r="H23" i="34"/>
  <c r="H22" i="34"/>
  <c r="H23" i="33"/>
  <c r="H22" i="33"/>
  <c r="H24" i="34"/>
  <c r="I21" i="34"/>
  <c r="I23" i="34"/>
  <c r="U26" i="31"/>
  <c r="U22" i="31"/>
  <c r="U27" i="31"/>
  <c r="U23" i="31"/>
  <c r="U28" i="31"/>
  <c r="U19" i="31"/>
  <c r="C42" i="36" s="1"/>
  <c r="U20" i="31"/>
  <c r="R8" i="31"/>
  <c r="R11" i="31"/>
  <c r="R10" i="31"/>
  <c r="P14" i="31"/>
  <c r="R9" i="31"/>
  <c r="P9" i="31"/>
  <c r="P8" i="31"/>
  <c r="P13" i="31"/>
  <c r="P12" i="31"/>
  <c r="P10" i="31"/>
  <c r="R13" i="31"/>
  <c r="P11" i="31"/>
  <c r="R14" i="31"/>
  <c r="R12" i="31"/>
  <c r="N9" i="31"/>
  <c r="O9" i="31"/>
  <c r="O13" i="31"/>
  <c r="O12" i="31"/>
  <c r="O10" i="31"/>
  <c r="M12" i="31"/>
  <c r="M13" i="31"/>
  <c r="M8" i="31"/>
  <c r="N8" i="31"/>
  <c r="N2" i="31"/>
  <c r="N11" i="31"/>
  <c r="N13" i="31"/>
  <c r="M14" i="31"/>
  <c r="N12" i="31"/>
  <c r="N14" i="31"/>
  <c r="M9" i="31"/>
  <c r="N10" i="31"/>
  <c r="M10" i="31"/>
  <c r="P2" i="31"/>
  <c r="O11" i="31"/>
  <c r="J50" i="31"/>
  <c r="J118" i="31"/>
  <c r="S15" i="31" s="1"/>
  <c r="J101" i="31"/>
  <c r="J67" i="31"/>
  <c r="J33" i="31"/>
  <c r="J16" i="31"/>
  <c r="F112" i="29"/>
  <c r="F124" i="29" s="1"/>
  <c r="G112" i="29"/>
  <c r="H112" i="29"/>
  <c r="H124" i="29" s="1"/>
  <c r="I112" i="29"/>
  <c r="N112" i="29" s="1"/>
  <c r="F113" i="29"/>
  <c r="F125" i="29" s="1"/>
  <c r="G113" i="29"/>
  <c r="G125" i="29" s="1"/>
  <c r="H113" i="29"/>
  <c r="I113" i="29"/>
  <c r="I125" i="29" s="1"/>
  <c r="F114" i="29"/>
  <c r="F126" i="29" s="1"/>
  <c r="G114" i="29"/>
  <c r="H114" i="29"/>
  <c r="H126" i="29" s="1"/>
  <c r="I114" i="29"/>
  <c r="N114" i="29" s="1"/>
  <c r="F115" i="29"/>
  <c r="F127" i="29" s="1"/>
  <c r="G115" i="29"/>
  <c r="G127" i="29" s="1"/>
  <c r="H115" i="29"/>
  <c r="I115" i="29"/>
  <c r="F116" i="29"/>
  <c r="F128" i="29" s="1"/>
  <c r="G116" i="29"/>
  <c r="H116" i="29"/>
  <c r="H128" i="29" s="1"/>
  <c r="I116" i="29"/>
  <c r="N116" i="29" s="1"/>
  <c r="F117" i="29"/>
  <c r="F129" i="29" s="1"/>
  <c r="G117" i="29"/>
  <c r="H117" i="29"/>
  <c r="M117" i="29" s="1"/>
  <c r="I117" i="29"/>
  <c r="I129" i="29" s="1"/>
  <c r="P104" i="29"/>
  <c r="O104" i="29"/>
  <c r="J104" i="29"/>
  <c r="I104" i="29"/>
  <c r="H104" i="29"/>
  <c r="G104" i="29"/>
  <c r="F104" i="29"/>
  <c r="P103" i="29"/>
  <c r="O103" i="29"/>
  <c r="J103" i="29"/>
  <c r="I103" i="29"/>
  <c r="H103" i="29"/>
  <c r="G103" i="29"/>
  <c r="F103" i="29"/>
  <c r="P101" i="29"/>
  <c r="O101" i="29"/>
  <c r="J101" i="29"/>
  <c r="I101" i="29"/>
  <c r="H101" i="29"/>
  <c r="G101" i="29"/>
  <c r="F101" i="29"/>
  <c r="C93" i="29"/>
  <c r="P100" i="29" s="1"/>
  <c r="C92" i="29"/>
  <c r="C91" i="29"/>
  <c r="C90" i="29"/>
  <c r="C89" i="29"/>
  <c r="C80" i="29"/>
  <c r="O100" i="29" s="1"/>
  <c r="C79" i="29"/>
  <c r="C78" i="29"/>
  <c r="C77" i="29"/>
  <c r="C76" i="29"/>
  <c r="C67" i="29"/>
  <c r="J100" i="29" s="1"/>
  <c r="C66" i="29"/>
  <c r="C65" i="29"/>
  <c r="C64" i="29"/>
  <c r="C63" i="29"/>
  <c r="C54" i="29"/>
  <c r="I100" i="29" s="1"/>
  <c r="C53" i="29"/>
  <c r="C52" i="29"/>
  <c r="C51" i="29"/>
  <c r="C50" i="29"/>
  <c r="C41" i="29"/>
  <c r="H100" i="29" s="1"/>
  <c r="C40" i="29"/>
  <c r="C39" i="29"/>
  <c r="C38" i="29"/>
  <c r="C37" i="29"/>
  <c r="B29" i="29"/>
  <c r="B42" i="29" s="1"/>
  <c r="B55" i="29" s="1"/>
  <c r="B68" i="29" s="1"/>
  <c r="B81" i="29" s="1"/>
  <c r="B94" i="29" s="1"/>
  <c r="C28" i="29"/>
  <c r="G100" i="29" s="1"/>
  <c r="C27" i="29"/>
  <c r="C26" i="29"/>
  <c r="C25" i="29"/>
  <c r="B25" i="29"/>
  <c r="B38" i="29" s="1"/>
  <c r="B51" i="29" s="1"/>
  <c r="B64" i="29" s="1"/>
  <c r="B77" i="29" s="1"/>
  <c r="B90" i="29" s="1"/>
  <c r="C24" i="29"/>
  <c r="G20" i="29"/>
  <c r="G33" i="29" s="1"/>
  <c r="G46" i="29" s="1"/>
  <c r="E16" i="29"/>
  <c r="E29" i="29" s="1"/>
  <c r="E42" i="29" s="1"/>
  <c r="E55" i="29" s="1"/>
  <c r="E68" i="29" s="1"/>
  <c r="E81" i="29" s="1"/>
  <c r="E94" i="29" s="1"/>
  <c r="G15" i="29"/>
  <c r="G28" i="29" s="1"/>
  <c r="G41" i="29" s="1"/>
  <c r="G54" i="29" s="1"/>
  <c r="E15" i="29"/>
  <c r="E28" i="29" s="1"/>
  <c r="E41" i="29" s="1"/>
  <c r="E54" i="29" s="1"/>
  <c r="E67" i="29" s="1"/>
  <c r="E80" i="29" s="1"/>
  <c r="E93" i="29" s="1"/>
  <c r="C15" i="29"/>
  <c r="F100" i="29" s="1"/>
  <c r="B15" i="29"/>
  <c r="B28" i="29" s="1"/>
  <c r="B41" i="29" s="1"/>
  <c r="B54" i="29" s="1"/>
  <c r="B67" i="29" s="1"/>
  <c r="B80" i="29" s="1"/>
  <c r="B93" i="29" s="1"/>
  <c r="G14" i="29"/>
  <c r="H14" i="29" s="1"/>
  <c r="E14" i="29"/>
  <c r="E27" i="29" s="1"/>
  <c r="E40" i="29" s="1"/>
  <c r="E53" i="29" s="1"/>
  <c r="E66" i="29" s="1"/>
  <c r="E79" i="29" s="1"/>
  <c r="E92" i="29" s="1"/>
  <c r="C14" i="29"/>
  <c r="B14" i="29"/>
  <c r="B27" i="29" s="1"/>
  <c r="B40" i="29" s="1"/>
  <c r="B53" i="29" s="1"/>
  <c r="B66" i="29" s="1"/>
  <c r="B79" i="29" s="1"/>
  <c r="B92" i="29" s="1"/>
  <c r="G13" i="29"/>
  <c r="H13" i="29" s="1"/>
  <c r="E13" i="29"/>
  <c r="E26" i="29" s="1"/>
  <c r="E39" i="29" s="1"/>
  <c r="E52" i="29" s="1"/>
  <c r="E65" i="29" s="1"/>
  <c r="E78" i="29" s="1"/>
  <c r="E91" i="29" s="1"/>
  <c r="C13" i="29"/>
  <c r="B13" i="29"/>
  <c r="B26" i="29" s="1"/>
  <c r="B39" i="29" s="1"/>
  <c r="B52" i="29" s="1"/>
  <c r="B65" i="29" s="1"/>
  <c r="B78" i="29" s="1"/>
  <c r="B91" i="29" s="1"/>
  <c r="G12" i="29"/>
  <c r="G25" i="29" s="1"/>
  <c r="H25" i="29" s="1"/>
  <c r="E12" i="29"/>
  <c r="E25" i="29" s="1"/>
  <c r="E38" i="29" s="1"/>
  <c r="E51" i="29" s="1"/>
  <c r="E64" i="29" s="1"/>
  <c r="E77" i="29" s="1"/>
  <c r="E90" i="29" s="1"/>
  <c r="C12" i="29"/>
  <c r="G11" i="29"/>
  <c r="G24" i="29" s="1"/>
  <c r="G37" i="29" s="1"/>
  <c r="G50" i="29" s="1"/>
  <c r="E11" i="29"/>
  <c r="E24" i="29" s="1"/>
  <c r="E37" i="29" s="1"/>
  <c r="E50" i="29" s="1"/>
  <c r="E63" i="29" s="1"/>
  <c r="E76" i="29" s="1"/>
  <c r="E89" i="29" s="1"/>
  <c r="C11" i="29"/>
  <c r="B11" i="29"/>
  <c r="B24" i="29" s="1"/>
  <c r="B37" i="29" s="1"/>
  <c r="B50" i="29" s="1"/>
  <c r="B63" i="29" s="1"/>
  <c r="B76" i="29" s="1"/>
  <c r="B89" i="29" s="1"/>
  <c r="G10" i="29"/>
  <c r="H10" i="29" s="1"/>
  <c r="E10" i="29"/>
  <c r="E23" i="29" s="1"/>
  <c r="E36" i="29" s="1"/>
  <c r="E49" i="29" s="1"/>
  <c r="E62" i="29" s="1"/>
  <c r="E75" i="29" s="1"/>
  <c r="E88" i="29" s="1"/>
  <c r="G9" i="29"/>
  <c r="G22" i="29" s="1"/>
  <c r="G35" i="29" s="1"/>
  <c r="H35" i="29" s="1"/>
  <c r="E9" i="29"/>
  <c r="E22" i="29" s="1"/>
  <c r="E35" i="29" s="1"/>
  <c r="E48" i="29" s="1"/>
  <c r="E61" i="29" s="1"/>
  <c r="E74" i="29" s="1"/>
  <c r="E87" i="29" s="1"/>
  <c r="H7" i="29"/>
  <c r="C10" i="26"/>
  <c r="C58" i="12" l="1"/>
  <c r="C14" i="35" s="1"/>
  <c r="J42" i="12"/>
  <c r="F9" i="29" s="1"/>
  <c r="F22" i="29" s="1"/>
  <c r="F35" i="29" s="1"/>
  <c r="F48" i="29" s="1"/>
  <c r="F61" i="29" s="1"/>
  <c r="J49" i="12"/>
  <c r="F14" i="26" s="1"/>
  <c r="F27" i="26" s="1"/>
  <c r="J45" i="12"/>
  <c r="J48" i="12"/>
  <c r="F15" i="29" s="1"/>
  <c r="F28" i="29" s="1"/>
  <c r="F41" i="29" s="1"/>
  <c r="F54" i="29" s="1"/>
  <c r="F67" i="29" s="1"/>
  <c r="J44" i="12"/>
  <c r="F11" i="29" s="1"/>
  <c r="F24" i="29" s="1"/>
  <c r="J43" i="12"/>
  <c r="F10" i="29" s="1"/>
  <c r="F23" i="29" s="1"/>
  <c r="F36" i="29" s="1"/>
  <c r="F49" i="29" s="1"/>
  <c r="J46" i="12"/>
  <c r="F11" i="26" s="1"/>
  <c r="F24" i="26" s="1"/>
  <c r="J47" i="12"/>
  <c r="F14" i="29" s="1"/>
  <c r="F27" i="29" s="1"/>
  <c r="D26" i="32"/>
  <c r="H40" i="32" s="1"/>
  <c r="H59" i="32" s="1"/>
  <c r="H69" i="32" s="1"/>
  <c r="H79" i="32" s="1"/>
  <c r="H89" i="32" s="1"/>
  <c r="D7" i="34"/>
  <c r="D7" i="33"/>
  <c r="G43" i="32"/>
  <c r="F26" i="32"/>
  <c r="I39" i="32" s="1"/>
  <c r="I58" i="32" s="1"/>
  <c r="I68" i="32" s="1"/>
  <c r="I78" i="32" s="1"/>
  <c r="I88" i="32" s="1"/>
  <c r="F7" i="33"/>
  <c r="F7" i="34"/>
  <c r="G25" i="34"/>
  <c r="G24" i="34"/>
  <c r="G24" i="33"/>
  <c r="G25" i="33"/>
  <c r="P15" i="31"/>
  <c r="R15" i="31"/>
  <c r="Q15" i="31"/>
  <c r="N15" i="31"/>
  <c r="M15" i="31"/>
  <c r="O15" i="31"/>
  <c r="K113" i="29"/>
  <c r="M112" i="29"/>
  <c r="L113" i="29"/>
  <c r="L114" i="29"/>
  <c r="L54" i="29"/>
  <c r="L112" i="29"/>
  <c r="N117" i="29"/>
  <c r="L116" i="29"/>
  <c r="K116" i="29"/>
  <c r="L115" i="29"/>
  <c r="I128" i="29"/>
  <c r="N128" i="29" s="1"/>
  <c r="G124" i="29"/>
  <c r="I126" i="29"/>
  <c r="N126" i="29" s="1"/>
  <c r="L117" i="29"/>
  <c r="N115" i="29"/>
  <c r="K117" i="29"/>
  <c r="M115" i="29"/>
  <c r="N113" i="29"/>
  <c r="G128" i="29"/>
  <c r="G126" i="29"/>
  <c r="K115" i="29"/>
  <c r="M113" i="29"/>
  <c r="I127" i="29"/>
  <c r="M116" i="29"/>
  <c r="M114" i="29"/>
  <c r="H129" i="29"/>
  <c r="M129" i="29" s="1"/>
  <c r="H127" i="29"/>
  <c r="H125" i="29"/>
  <c r="G129" i="29"/>
  <c r="K114" i="29"/>
  <c r="K112" i="29"/>
  <c r="K36" i="29"/>
  <c r="M91" i="29"/>
  <c r="M66" i="29"/>
  <c r="M37" i="29"/>
  <c r="H20" i="29"/>
  <c r="H12" i="29"/>
  <c r="K10" i="29"/>
  <c r="M38" i="29"/>
  <c r="K53" i="29"/>
  <c r="L35" i="29"/>
  <c r="K40" i="29"/>
  <c r="M35" i="29"/>
  <c r="L41" i="29"/>
  <c r="K77" i="29"/>
  <c r="L52" i="29"/>
  <c r="K48" i="29"/>
  <c r="M52" i="29"/>
  <c r="K64" i="29"/>
  <c r="L36" i="29"/>
  <c r="K39" i="29"/>
  <c r="K49" i="29"/>
  <c r="K89" i="29"/>
  <c r="M36" i="29"/>
  <c r="L11" i="29"/>
  <c r="H22" i="29"/>
  <c r="K50" i="29"/>
  <c r="L12" i="29"/>
  <c r="G23" i="29"/>
  <c r="G36" i="29" s="1"/>
  <c r="H36" i="29" s="1"/>
  <c r="L37" i="29"/>
  <c r="L40" i="29"/>
  <c r="L51" i="29"/>
  <c r="M76" i="29"/>
  <c r="M93" i="29"/>
  <c r="K61" i="29"/>
  <c r="M12" i="29"/>
  <c r="L64" i="29"/>
  <c r="K88" i="29"/>
  <c r="M92" i="29"/>
  <c r="L61" i="29"/>
  <c r="M10" i="29"/>
  <c r="G38" i="29"/>
  <c r="H38" i="29" s="1"/>
  <c r="H41" i="29"/>
  <c r="L50" i="29"/>
  <c r="M54" i="29"/>
  <c r="K62" i="29"/>
  <c r="M80" i="29"/>
  <c r="L89" i="29"/>
  <c r="I124" i="29"/>
  <c r="N124" i="29" s="1"/>
  <c r="K74" i="29"/>
  <c r="L9" i="29"/>
  <c r="K14" i="29"/>
  <c r="K79" i="29"/>
  <c r="L14" i="29"/>
  <c r="K51" i="29"/>
  <c r="M53" i="29"/>
  <c r="L63" i="29"/>
  <c r="L74" i="29"/>
  <c r="K90" i="29"/>
  <c r="M75" i="29"/>
  <c r="K80" i="29"/>
  <c r="L90" i="29"/>
  <c r="M13" i="29"/>
  <c r="M24" i="29"/>
  <c r="H37" i="29"/>
  <c r="L48" i="29"/>
  <c r="M51" i="29"/>
  <c r="L80" i="29"/>
  <c r="M90" i="29"/>
  <c r="H54" i="29"/>
  <c r="G67" i="29"/>
  <c r="M28" i="29"/>
  <c r="M26" i="29"/>
  <c r="L25" i="29"/>
  <c r="K24" i="29"/>
  <c r="K28" i="29"/>
  <c r="K22" i="29"/>
  <c r="L24" i="29"/>
  <c r="H11" i="29"/>
  <c r="M11" i="29"/>
  <c r="L10" i="29"/>
  <c r="M14" i="29"/>
  <c r="L13" i="29"/>
  <c r="K12" i="29"/>
  <c r="M9" i="29"/>
  <c r="H15" i="29"/>
  <c r="K25" i="29"/>
  <c r="G27" i="29"/>
  <c r="G48" i="29"/>
  <c r="G26" i="29"/>
  <c r="L22" i="29"/>
  <c r="M25" i="29"/>
  <c r="K26" i="29"/>
  <c r="H50" i="29"/>
  <c r="G63" i="29"/>
  <c r="H9" i="29"/>
  <c r="K11" i="29"/>
  <c r="K13" i="29"/>
  <c r="K15" i="29"/>
  <c r="H46" i="29"/>
  <c r="G59" i="29"/>
  <c r="M22" i="29"/>
  <c r="K23" i="29"/>
  <c r="H24" i="29"/>
  <c r="L26" i="29"/>
  <c r="K27" i="29"/>
  <c r="H28" i="29"/>
  <c r="H33" i="29"/>
  <c r="M41" i="29"/>
  <c r="K41" i="29"/>
  <c r="K35" i="29"/>
  <c r="M39" i="29"/>
  <c r="L38" i="29"/>
  <c r="K37" i="29"/>
  <c r="K38" i="29"/>
  <c r="M40" i="29"/>
  <c r="L39" i="29"/>
  <c r="L23" i="29"/>
  <c r="L27" i="29"/>
  <c r="L15" i="29"/>
  <c r="K9" i="29"/>
  <c r="M15" i="29"/>
  <c r="M23" i="29"/>
  <c r="M27" i="29"/>
  <c r="L28" i="29"/>
  <c r="M50" i="29"/>
  <c r="L49" i="29"/>
  <c r="K52" i="29"/>
  <c r="M48" i="29"/>
  <c r="M64" i="29"/>
  <c r="L65" i="29"/>
  <c r="M65" i="29"/>
  <c r="K65" i="29"/>
  <c r="M61" i="29"/>
  <c r="L67" i="29"/>
  <c r="K66" i="29"/>
  <c r="K67" i="29"/>
  <c r="M63" i="29"/>
  <c r="L62" i="29"/>
  <c r="M49" i="29"/>
  <c r="K54" i="29"/>
  <c r="M62" i="29"/>
  <c r="K63" i="29"/>
  <c r="M67" i="29"/>
  <c r="L53" i="29"/>
  <c r="M74" i="29"/>
  <c r="K78" i="29"/>
  <c r="L79" i="29"/>
  <c r="L88" i="29"/>
  <c r="M89" i="29"/>
  <c r="N129" i="29"/>
  <c r="L78" i="29"/>
  <c r="M79" i="29"/>
  <c r="M88" i="29"/>
  <c r="K76" i="29"/>
  <c r="L77" i="29"/>
  <c r="M78" i="29"/>
  <c r="K87" i="29"/>
  <c r="K93" i="29"/>
  <c r="K75" i="29"/>
  <c r="L76" i="29"/>
  <c r="M77" i="29"/>
  <c r="L87" i="29"/>
  <c r="K92" i="29"/>
  <c r="L93" i="29"/>
  <c r="L66" i="29"/>
  <c r="L75" i="29"/>
  <c r="M87" i="29"/>
  <c r="K91" i="29"/>
  <c r="L92" i="29"/>
  <c r="L91" i="29"/>
  <c r="T144" i="26"/>
  <c r="T143" i="26"/>
  <c r="F120" i="26"/>
  <c r="E119" i="26"/>
  <c r="H83" i="25"/>
  <c r="H70" i="25"/>
  <c r="H57" i="25"/>
  <c r="H44" i="25"/>
  <c r="H31" i="25"/>
  <c r="H18" i="25"/>
  <c r="H5" i="25"/>
  <c r="G18" i="26"/>
  <c r="G31" i="26" s="1"/>
  <c r="H5" i="26"/>
  <c r="H136" i="26"/>
  <c r="G136" i="26"/>
  <c r="H134" i="26"/>
  <c r="F136" i="26"/>
  <c r="F134" i="26"/>
  <c r="F135" i="26" s="1"/>
  <c r="F141" i="26"/>
  <c r="I115" i="26"/>
  <c r="I151" i="26" s="1"/>
  <c r="N151" i="26" s="1"/>
  <c r="H115" i="26"/>
  <c r="H151" i="26" s="1"/>
  <c r="M151" i="26" s="1"/>
  <c r="G115" i="26"/>
  <c r="F115" i="26"/>
  <c r="I114" i="26"/>
  <c r="N114" i="26" s="1"/>
  <c r="H114" i="26"/>
  <c r="H150" i="26" s="1"/>
  <c r="G114" i="26"/>
  <c r="F114" i="26"/>
  <c r="F150" i="26" s="1"/>
  <c r="I113" i="26"/>
  <c r="I149" i="26" s="1"/>
  <c r="H113" i="26"/>
  <c r="G113" i="26"/>
  <c r="G149" i="26" s="1"/>
  <c r="F113" i="26"/>
  <c r="F149" i="26" s="1"/>
  <c r="I112" i="26"/>
  <c r="N112" i="26" s="1"/>
  <c r="H112" i="26"/>
  <c r="H148" i="26" s="1"/>
  <c r="G112" i="26"/>
  <c r="G148" i="26" s="1"/>
  <c r="F112" i="26"/>
  <c r="F148" i="26" s="1"/>
  <c r="I111" i="26"/>
  <c r="I147" i="26" s="1"/>
  <c r="H111" i="26"/>
  <c r="H147" i="26" s="1"/>
  <c r="G111" i="26"/>
  <c r="F111" i="26"/>
  <c r="I110" i="26"/>
  <c r="I146" i="26" s="1"/>
  <c r="N146" i="26" s="1"/>
  <c r="H110" i="26"/>
  <c r="H146" i="26" s="1"/>
  <c r="G110" i="26"/>
  <c r="G146" i="26" s="1"/>
  <c r="F110" i="26"/>
  <c r="F146" i="26" s="1"/>
  <c r="P102" i="26"/>
  <c r="O102" i="26"/>
  <c r="J102" i="26"/>
  <c r="I102" i="26"/>
  <c r="H102" i="26"/>
  <c r="G102" i="26"/>
  <c r="F102" i="26"/>
  <c r="P101" i="26"/>
  <c r="O101" i="26"/>
  <c r="J101" i="26"/>
  <c r="I101" i="26"/>
  <c r="H101" i="26"/>
  <c r="G101" i="26"/>
  <c r="F101" i="26"/>
  <c r="P99" i="26"/>
  <c r="O99" i="26"/>
  <c r="J99" i="26"/>
  <c r="I99" i="26"/>
  <c r="H99" i="26"/>
  <c r="G99" i="26"/>
  <c r="F99" i="26"/>
  <c r="C91" i="26"/>
  <c r="P98" i="26" s="1"/>
  <c r="C90" i="26"/>
  <c r="C89" i="26"/>
  <c r="C88" i="26"/>
  <c r="C87" i="26"/>
  <c r="C78" i="26"/>
  <c r="O98" i="26" s="1"/>
  <c r="C77" i="26"/>
  <c r="C76" i="26"/>
  <c r="C75" i="26"/>
  <c r="C74" i="26"/>
  <c r="C65" i="26"/>
  <c r="J98" i="26" s="1"/>
  <c r="C64" i="26"/>
  <c r="C63" i="26"/>
  <c r="C62" i="26"/>
  <c r="C61" i="26"/>
  <c r="C52" i="26"/>
  <c r="I98" i="26" s="1"/>
  <c r="C51" i="26"/>
  <c r="C50" i="26"/>
  <c r="C49" i="26"/>
  <c r="C48" i="26"/>
  <c r="C39" i="26"/>
  <c r="H98" i="26" s="1"/>
  <c r="C38" i="26"/>
  <c r="C37" i="26"/>
  <c r="C36" i="26"/>
  <c r="C35" i="26"/>
  <c r="B27" i="26"/>
  <c r="B40" i="26" s="1"/>
  <c r="B53" i="26" s="1"/>
  <c r="B66" i="26" s="1"/>
  <c r="B79" i="26" s="1"/>
  <c r="B92" i="26" s="1"/>
  <c r="C26" i="26"/>
  <c r="G98" i="26" s="1"/>
  <c r="C25" i="26"/>
  <c r="C24" i="26"/>
  <c r="C23" i="26"/>
  <c r="B23" i="26"/>
  <c r="B36" i="26" s="1"/>
  <c r="B49" i="26" s="1"/>
  <c r="B62" i="26" s="1"/>
  <c r="B75" i="26" s="1"/>
  <c r="B88" i="26" s="1"/>
  <c r="C22" i="26"/>
  <c r="E14" i="26"/>
  <c r="E27" i="26" s="1"/>
  <c r="E40" i="26" s="1"/>
  <c r="E53" i="26" s="1"/>
  <c r="E66" i="26" s="1"/>
  <c r="E79" i="26" s="1"/>
  <c r="E92" i="26" s="1"/>
  <c r="E129" i="26" s="1"/>
  <c r="G13" i="26"/>
  <c r="G26" i="26" s="1"/>
  <c r="E13" i="26"/>
  <c r="E26" i="26" s="1"/>
  <c r="E39" i="26" s="1"/>
  <c r="E52" i="26" s="1"/>
  <c r="E65" i="26" s="1"/>
  <c r="E78" i="26" s="1"/>
  <c r="E91" i="26" s="1"/>
  <c r="E128" i="26" s="1"/>
  <c r="C13" i="26"/>
  <c r="F98" i="26" s="1"/>
  <c r="B13" i="26"/>
  <c r="B26" i="26" s="1"/>
  <c r="B39" i="26" s="1"/>
  <c r="B52" i="26" s="1"/>
  <c r="B65" i="26" s="1"/>
  <c r="B78" i="26" s="1"/>
  <c r="B91" i="26" s="1"/>
  <c r="G12" i="26"/>
  <c r="G25" i="26" s="1"/>
  <c r="E12" i="26"/>
  <c r="E25" i="26" s="1"/>
  <c r="E38" i="26" s="1"/>
  <c r="E51" i="26" s="1"/>
  <c r="E64" i="26" s="1"/>
  <c r="E77" i="26" s="1"/>
  <c r="E90" i="26" s="1"/>
  <c r="E127" i="26" s="1"/>
  <c r="C12" i="26"/>
  <c r="B12" i="26"/>
  <c r="B25" i="26" s="1"/>
  <c r="B38" i="26" s="1"/>
  <c r="B51" i="26" s="1"/>
  <c r="B64" i="26" s="1"/>
  <c r="B77" i="26" s="1"/>
  <c r="B90" i="26" s="1"/>
  <c r="G11" i="26"/>
  <c r="G24" i="26" s="1"/>
  <c r="G37" i="26" s="1"/>
  <c r="E11" i="26"/>
  <c r="E24" i="26" s="1"/>
  <c r="E37" i="26" s="1"/>
  <c r="E50" i="26" s="1"/>
  <c r="E63" i="26" s="1"/>
  <c r="E76" i="26" s="1"/>
  <c r="E89" i="26" s="1"/>
  <c r="E126" i="26" s="1"/>
  <c r="C11" i="26"/>
  <c r="B11" i="26"/>
  <c r="B24" i="26" s="1"/>
  <c r="B37" i="26" s="1"/>
  <c r="B50" i="26" s="1"/>
  <c r="B63" i="26" s="1"/>
  <c r="B76" i="26" s="1"/>
  <c r="B89" i="26" s="1"/>
  <c r="G10" i="26"/>
  <c r="G23" i="26" s="1"/>
  <c r="F10" i="26"/>
  <c r="F23" i="26" s="1"/>
  <c r="E10" i="26"/>
  <c r="E23" i="26" s="1"/>
  <c r="E36" i="26" s="1"/>
  <c r="E49" i="26" s="1"/>
  <c r="E62" i="26" s="1"/>
  <c r="E75" i="26" s="1"/>
  <c r="E88" i="26" s="1"/>
  <c r="E125" i="26" s="1"/>
  <c r="G9" i="26"/>
  <c r="G22" i="26" s="1"/>
  <c r="E9" i="26"/>
  <c r="E22" i="26" s="1"/>
  <c r="E35" i="26" s="1"/>
  <c r="E48" i="26" s="1"/>
  <c r="E61" i="26" s="1"/>
  <c r="E74" i="26" s="1"/>
  <c r="E87" i="26" s="1"/>
  <c r="E124" i="26" s="1"/>
  <c r="C9" i="26"/>
  <c r="B9" i="26"/>
  <c r="B22" i="26" s="1"/>
  <c r="B35" i="26" s="1"/>
  <c r="B48" i="26" s="1"/>
  <c r="B61" i="26" s="1"/>
  <c r="B74" i="26" s="1"/>
  <c r="B87" i="26" s="1"/>
  <c r="G8" i="26"/>
  <c r="G21" i="26" s="1"/>
  <c r="E8" i="26"/>
  <c r="E21" i="26" s="1"/>
  <c r="E34" i="26" s="1"/>
  <c r="E47" i="26" s="1"/>
  <c r="E60" i="26" s="1"/>
  <c r="E73" i="26" s="1"/>
  <c r="E86" i="26" s="1"/>
  <c r="E123" i="26" s="1"/>
  <c r="G7" i="26"/>
  <c r="H7" i="26" s="1"/>
  <c r="F7" i="26"/>
  <c r="F20" i="26" s="1"/>
  <c r="E7" i="26"/>
  <c r="E20" i="26" s="1"/>
  <c r="E33" i="26" s="1"/>
  <c r="E46" i="26" s="1"/>
  <c r="E59" i="26" s="1"/>
  <c r="E72" i="26" s="1"/>
  <c r="E85" i="26" s="1"/>
  <c r="E122" i="26" s="1"/>
  <c r="C48" i="25"/>
  <c r="C88" i="25"/>
  <c r="C75" i="25"/>
  <c r="C62" i="25"/>
  <c r="C49" i="25"/>
  <c r="C36" i="25"/>
  <c r="C26" i="25"/>
  <c r="G98" i="25" s="1"/>
  <c r="C23" i="25"/>
  <c r="E128" i="12"/>
  <c r="G16" i="29" s="1"/>
  <c r="H16" i="29" s="1"/>
  <c r="F9" i="26" l="1"/>
  <c r="F22" i="26" s="1"/>
  <c r="F9" i="35"/>
  <c r="F22" i="35" s="1"/>
  <c r="F7" i="35"/>
  <c r="F20" i="35" s="1"/>
  <c r="F8" i="26"/>
  <c r="F21" i="26" s="1"/>
  <c r="F8" i="35"/>
  <c r="F21" i="35" s="1"/>
  <c r="F12" i="26"/>
  <c r="F25" i="26" s="1"/>
  <c r="F38" i="26" s="1"/>
  <c r="F13" i="26"/>
  <c r="F26" i="26" s="1"/>
  <c r="F39" i="26" s="1"/>
  <c r="F52" i="26" s="1"/>
  <c r="F13" i="35"/>
  <c r="F26" i="35" s="1"/>
  <c r="F11" i="35"/>
  <c r="F24" i="35" s="1"/>
  <c r="G24" i="35" s="1"/>
  <c r="F13" i="29"/>
  <c r="F26" i="29" s="1"/>
  <c r="F39" i="29" s="1"/>
  <c r="F52" i="29" s="1"/>
  <c r="F10" i="35"/>
  <c r="F23" i="35" s="1"/>
  <c r="G23" i="35" s="1"/>
  <c r="F12" i="29"/>
  <c r="F25" i="29" s="1"/>
  <c r="F38" i="29" s="1"/>
  <c r="F51" i="29" s="1"/>
  <c r="F12" i="35"/>
  <c r="F25" i="35" s="1"/>
  <c r="F38" i="35" s="1"/>
  <c r="F14" i="35"/>
  <c r="F27" i="35" s="1"/>
  <c r="F40" i="35" s="1"/>
  <c r="F16" i="29"/>
  <c r="F29" i="29" s="1"/>
  <c r="F42" i="29" s="1"/>
  <c r="F55" i="29" s="1"/>
  <c r="F68" i="29" s="1"/>
  <c r="F81" i="29" s="1"/>
  <c r="F94" i="29" s="1"/>
  <c r="C27" i="35"/>
  <c r="C40" i="35" s="1"/>
  <c r="C53" i="35" s="1"/>
  <c r="C66" i="35" s="1"/>
  <c r="C79" i="35" s="1"/>
  <c r="C92" i="35" s="1"/>
  <c r="I41" i="32"/>
  <c r="I60" i="32" s="1"/>
  <c r="I70" i="32" s="1"/>
  <c r="I80" i="32" s="1"/>
  <c r="I90" i="32" s="1"/>
  <c r="I43" i="32"/>
  <c r="I62" i="32" s="1"/>
  <c r="I72" i="32" s="1"/>
  <c r="I82" i="32" s="1"/>
  <c r="I92" i="32" s="1"/>
  <c r="H39" i="32"/>
  <c r="H58" i="32" s="1"/>
  <c r="H68" i="32" s="1"/>
  <c r="H78" i="32" s="1"/>
  <c r="H88" i="32" s="1"/>
  <c r="K88" i="32" s="1"/>
  <c r="L88" i="32" s="1"/>
  <c r="R88" i="32" s="1"/>
  <c r="G49" i="29"/>
  <c r="G62" i="29" s="1"/>
  <c r="H21" i="33"/>
  <c r="H40" i="33" s="1"/>
  <c r="H50" i="33" s="1"/>
  <c r="H60" i="33" s="1"/>
  <c r="H70" i="33" s="1"/>
  <c r="H20" i="33"/>
  <c r="H39" i="33" s="1"/>
  <c r="H49" i="33" s="1"/>
  <c r="H59" i="33" s="1"/>
  <c r="H69" i="33" s="1"/>
  <c r="H21" i="34"/>
  <c r="H40" i="34" s="1"/>
  <c r="H50" i="34" s="1"/>
  <c r="H60" i="34" s="1"/>
  <c r="H70" i="34" s="1"/>
  <c r="H20" i="34"/>
  <c r="H39" i="34" s="1"/>
  <c r="H49" i="34" s="1"/>
  <c r="H59" i="34" s="1"/>
  <c r="H69" i="34" s="1"/>
  <c r="I24" i="33"/>
  <c r="I43" i="33" s="1"/>
  <c r="I53" i="33" s="1"/>
  <c r="I63" i="33" s="1"/>
  <c r="I73" i="33" s="1"/>
  <c r="I20" i="33"/>
  <c r="I39" i="33" s="1"/>
  <c r="I49" i="33" s="1"/>
  <c r="I59" i="33" s="1"/>
  <c r="I69" i="33" s="1"/>
  <c r="I22" i="33"/>
  <c r="I41" i="33" s="1"/>
  <c r="I51" i="33" s="1"/>
  <c r="I61" i="33" s="1"/>
  <c r="I71" i="33" s="1"/>
  <c r="C14" i="33"/>
  <c r="C14" i="34"/>
  <c r="I22" i="34"/>
  <c r="I41" i="34" s="1"/>
  <c r="I51" i="34" s="1"/>
  <c r="I61" i="34" s="1"/>
  <c r="I71" i="34" s="1"/>
  <c r="I20" i="34"/>
  <c r="I39" i="34" s="1"/>
  <c r="I49" i="34" s="1"/>
  <c r="I59" i="34" s="1"/>
  <c r="I69" i="34" s="1"/>
  <c r="I24" i="34"/>
  <c r="I43" i="34" s="1"/>
  <c r="I53" i="34" s="1"/>
  <c r="I63" i="34" s="1"/>
  <c r="I73" i="34" s="1"/>
  <c r="C14" i="26"/>
  <c r="C33" i="32"/>
  <c r="C16" i="29"/>
  <c r="G14" i="26"/>
  <c r="H14" i="26" s="1"/>
  <c r="G29" i="29"/>
  <c r="G42" i="29" s="1"/>
  <c r="J112" i="29"/>
  <c r="J116" i="29"/>
  <c r="G51" i="29"/>
  <c r="H51" i="29" s="1"/>
  <c r="O74" i="29"/>
  <c r="P74" i="29" s="1"/>
  <c r="J115" i="29"/>
  <c r="J114" i="29"/>
  <c r="J113" i="29"/>
  <c r="O14" i="29"/>
  <c r="P14" i="29" s="1"/>
  <c r="J117" i="29"/>
  <c r="O52" i="29"/>
  <c r="P52" i="29" s="1"/>
  <c r="O40" i="29"/>
  <c r="P40" i="29" s="1"/>
  <c r="O10" i="29"/>
  <c r="P10" i="29" s="1"/>
  <c r="O89" i="29"/>
  <c r="P89" i="29" s="1"/>
  <c r="O50" i="29"/>
  <c r="P50" i="29" s="1"/>
  <c r="O13" i="29"/>
  <c r="P13" i="29" s="1"/>
  <c r="H23" i="29"/>
  <c r="O54" i="29"/>
  <c r="P54" i="29" s="1"/>
  <c r="O90" i="29"/>
  <c r="P90" i="29" s="1"/>
  <c r="O37" i="29"/>
  <c r="P37" i="29" s="1"/>
  <c r="O92" i="29"/>
  <c r="P92" i="29" s="1"/>
  <c r="O36" i="29"/>
  <c r="P36" i="29" s="1"/>
  <c r="O80" i="29"/>
  <c r="P80" i="29" s="1"/>
  <c r="O35" i="29"/>
  <c r="P35" i="29" s="1"/>
  <c r="O53" i="29"/>
  <c r="P53" i="29" s="1"/>
  <c r="O61" i="29"/>
  <c r="P61" i="29" s="1"/>
  <c r="J102" i="29" s="1"/>
  <c r="O12" i="29"/>
  <c r="P12" i="29" s="1"/>
  <c r="O38" i="29"/>
  <c r="P38" i="29" s="1"/>
  <c r="O93" i="29"/>
  <c r="P93" i="29" s="1"/>
  <c r="O39" i="29"/>
  <c r="P39" i="29" s="1"/>
  <c r="O77" i="29"/>
  <c r="P77" i="29" s="1"/>
  <c r="O9" i="29"/>
  <c r="P9" i="29" s="1"/>
  <c r="O27" i="29"/>
  <c r="P27" i="29" s="1"/>
  <c r="O28" i="29"/>
  <c r="P28" i="29" s="1"/>
  <c r="O51" i="29"/>
  <c r="P51" i="29" s="1"/>
  <c r="O88" i="29"/>
  <c r="P88" i="29" s="1"/>
  <c r="O79" i="29"/>
  <c r="P79" i="29" s="1"/>
  <c r="O64" i="29"/>
  <c r="P64" i="29" s="1"/>
  <c r="O25" i="29"/>
  <c r="P25" i="29" s="1"/>
  <c r="O48" i="29"/>
  <c r="P48" i="29" s="1"/>
  <c r="O26" i="29"/>
  <c r="P26" i="29" s="1"/>
  <c r="O75" i="29"/>
  <c r="P75" i="29" s="1"/>
  <c r="O76" i="29"/>
  <c r="P76" i="29" s="1"/>
  <c r="O63" i="29"/>
  <c r="P63" i="29" s="1"/>
  <c r="O62" i="29"/>
  <c r="P62" i="29" s="1"/>
  <c r="F80" i="29"/>
  <c r="O41" i="29"/>
  <c r="P41" i="29" s="1"/>
  <c r="O23" i="29"/>
  <c r="P23" i="29" s="1"/>
  <c r="O11" i="29"/>
  <c r="P11" i="29" s="1"/>
  <c r="G40" i="29"/>
  <c r="H27" i="29"/>
  <c r="O22" i="29"/>
  <c r="F74" i="29"/>
  <c r="O67" i="29"/>
  <c r="P67" i="29" s="1"/>
  <c r="H59" i="29"/>
  <c r="G72" i="29"/>
  <c r="H26" i="29"/>
  <c r="G39" i="29"/>
  <c r="O24" i="29"/>
  <c r="P24" i="29" s="1"/>
  <c r="G80" i="29"/>
  <c r="H67" i="29"/>
  <c r="O66" i="29"/>
  <c r="P66" i="29" s="1"/>
  <c r="O15" i="29"/>
  <c r="P15" i="29" s="1"/>
  <c r="F62" i="29"/>
  <c r="O87" i="29"/>
  <c r="O91" i="29"/>
  <c r="P91" i="29" s="1"/>
  <c r="O78" i="29"/>
  <c r="P78" i="29" s="1"/>
  <c r="O49" i="29"/>
  <c r="P49" i="29" s="1"/>
  <c r="O65" i="29"/>
  <c r="P65" i="29" s="1"/>
  <c r="F40" i="29"/>
  <c r="F37" i="29"/>
  <c r="H63" i="29"/>
  <c r="G76" i="29"/>
  <c r="H48" i="29"/>
  <c r="G61" i="29"/>
  <c r="H49" i="29"/>
  <c r="K114" i="26"/>
  <c r="H18" i="26"/>
  <c r="G44" i="26"/>
  <c r="H31" i="26"/>
  <c r="L112" i="26"/>
  <c r="K88" i="26"/>
  <c r="M7" i="26"/>
  <c r="M36" i="26"/>
  <c r="L111" i="26"/>
  <c r="K78" i="26"/>
  <c r="M9" i="26"/>
  <c r="H12" i="26"/>
  <c r="K51" i="26"/>
  <c r="K36" i="26"/>
  <c r="N110" i="26"/>
  <c r="G147" i="26"/>
  <c r="K34" i="26"/>
  <c r="M49" i="26"/>
  <c r="M12" i="26"/>
  <c r="M50" i="26"/>
  <c r="L115" i="26"/>
  <c r="K75" i="26"/>
  <c r="L113" i="26"/>
  <c r="M26" i="26"/>
  <c r="M75" i="26"/>
  <c r="L89" i="26"/>
  <c r="M34" i="26"/>
  <c r="M89" i="26"/>
  <c r="M39" i="26"/>
  <c r="M47" i="26"/>
  <c r="L72" i="26"/>
  <c r="M78" i="26"/>
  <c r="M90" i="26"/>
  <c r="L37" i="26"/>
  <c r="M52" i="26"/>
  <c r="L35" i="26"/>
  <c r="K38" i="26"/>
  <c r="K73" i="26"/>
  <c r="K77" i="26"/>
  <c r="M111" i="26"/>
  <c r="K11" i="26"/>
  <c r="M22" i="26"/>
  <c r="L34" i="26"/>
  <c r="L46" i="26"/>
  <c r="H8" i="26"/>
  <c r="H9" i="26"/>
  <c r="K10" i="26"/>
  <c r="H11" i="26"/>
  <c r="K23" i="26"/>
  <c r="G27" i="26"/>
  <c r="M35" i="26"/>
  <c r="L48" i="26"/>
  <c r="L52" i="26"/>
  <c r="K110" i="26"/>
  <c r="N111" i="26"/>
  <c r="I150" i="26"/>
  <c r="N150" i="26" s="1"/>
  <c r="M23" i="26"/>
  <c r="K33" i="26"/>
  <c r="L39" i="26"/>
  <c r="L74" i="26"/>
  <c r="G151" i="26"/>
  <c r="K47" i="26"/>
  <c r="K7" i="26"/>
  <c r="K8" i="26"/>
  <c r="K9" i="26"/>
  <c r="L10" i="26"/>
  <c r="M11" i="26"/>
  <c r="L7" i="26"/>
  <c r="L8" i="26"/>
  <c r="L9" i="26"/>
  <c r="M10" i="26"/>
  <c r="L21" i="26"/>
  <c r="L33" i="26"/>
  <c r="K49" i="26"/>
  <c r="N115" i="26"/>
  <c r="M110" i="26"/>
  <c r="F137" i="26"/>
  <c r="G39" i="26"/>
  <c r="H26" i="26"/>
  <c r="F33" i="26"/>
  <c r="F34" i="26"/>
  <c r="F35" i="26"/>
  <c r="F37" i="26"/>
  <c r="G38" i="26"/>
  <c r="H25" i="26"/>
  <c r="G34" i="26"/>
  <c r="H21" i="26"/>
  <c r="G35" i="26"/>
  <c r="H22" i="26"/>
  <c r="G36" i="26"/>
  <c r="H23" i="26"/>
  <c r="F40" i="26"/>
  <c r="G50" i="26"/>
  <c r="H37" i="26"/>
  <c r="K63" i="26"/>
  <c r="M59" i="26"/>
  <c r="K64" i="26"/>
  <c r="L59" i="26"/>
  <c r="F151" i="26"/>
  <c r="K115" i="26"/>
  <c r="M8" i="26"/>
  <c r="H10" i="26"/>
  <c r="K13" i="26"/>
  <c r="M21" i="26"/>
  <c r="H24" i="26"/>
  <c r="F36" i="26"/>
  <c r="M37" i="26"/>
  <c r="L36" i="26"/>
  <c r="K35" i="26"/>
  <c r="K37" i="26"/>
  <c r="M33" i="26"/>
  <c r="M38" i="26"/>
  <c r="K60" i="26"/>
  <c r="H149" i="26"/>
  <c r="M113" i="26"/>
  <c r="K12" i="26"/>
  <c r="L13" i="26"/>
  <c r="K20" i="26"/>
  <c r="K26" i="26"/>
  <c r="M60" i="26"/>
  <c r="M64" i="26"/>
  <c r="L12" i="26"/>
  <c r="M13" i="26"/>
  <c r="L20" i="26"/>
  <c r="K25" i="26"/>
  <c r="L26" i="26"/>
  <c r="L63" i="26"/>
  <c r="K111" i="26"/>
  <c r="L11" i="26"/>
  <c r="M20" i="26"/>
  <c r="K24" i="26"/>
  <c r="L25" i="26"/>
  <c r="M87" i="26"/>
  <c r="L86" i="26"/>
  <c r="M88" i="26"/>
  <c r="L87" i="26"/>
  <c r="K86" i="26"/>
  <c r="L88" i="26"/>
  <c r="K87" i="26"/>
  <c r="K89" i="26"/>
  <c r="M85" i="26"/>
  <c r="K90" i="26"/>
  <c r="L85" i="26"/>
  <c r="K85" i="26"/>
  <c r="M86" i="26"/>
  <c r="I148" i="26"/>
  <c r="N148" i="26" s="1"/>
  <c r="L24" i="26"/>
  <c r="M25" i="26"/>
  <c r="K62" i="26"/>
  <c r="G150" i="26"/>
  <c r="L114" i="26"/>
  <c r="H13" i="26"/>
  <c r="G20" i="26"/>
  <c r="K22" i="26"/>
  <c r="L23" i="26"/>
  <c r="M24" i="26"/>
  <c r="M62" i="26"/>
  <c r="M65" i="26"/>
  <c r="K113" i="26"/>
  <c r="K112" i="26"/>
  <c r="K21" i="26"/>
  <c r="L22" i="26"/>
  <c r="L61" i="26"/>
  <c r="L78" i="26"/>
  <c r="M112" i="26"/>
  <c r="K39" i="26"/>
  <c r="L47" i="26"/>
  <c r="M48" i="26"/>
  <c r="K61" i="26"/>
  <c r="L62" i="26"/>
  <c r="M63" i="26"/>
  <c r="M72" i="26"/>
  <c r="K76" i="26"/>
  <c r="L77" i="26"/>
  <c r="K91" i="26"/>
  <c r="L76" i="26"/>
  <c r="M77" i="26"/>
  <c r="L91" i="26"/>
  <c r="N113" i="26"/>
  <c r="M114" i="26"/>
  <c r="L38" i="26"/>
  <c r="K46" i="26"/>
  <c r="K52" i="26"/>
  <c r="L60" i="26"/>
  <c r="M61" i="26"/>
  <c r="K74" i="26"/>
  <c r="L75" i="26"/>
  <c r="M76" i="26"/>
  <c r="L90" i="26"/>
  <c r="M91" i="26"/>
  <c r="M115" i="26"/>
  <c r="F147" i="26"/>
  <c r="M46" i="26"/>
  <c r="K50" i="26"/>
  <c r="L51" i="26"/>
  <c r="K59" i="26"/>
  <c r="K65" i="26"/>
  <c r="L73" i="26"/>
  <c r="M74" i="26"/>
  <c r="L110" i="26"/>
  <c r="L50" i="26"/>
  <c r="M51" i="26"/>
  <c r="L65" i="26"/>
  <c r="M73" i="26"/>
  <c r="K48" i="26"/>
  <c r="L49" i="26"/>
  <c r="L64" i="26"/>
  <c r="K72" i="26"/>
  <c r="P123" i="25"/>
  <c r="Q123" i="25" s="1"/>
  <c r="R123" i="25" s="1"/>
  <c r="S123" i="25" s="1"/>
  <c r="F119" i="25"/>
  <c r="F99" i="25"/>
  <c r="G99" i="25"/>
  <c r="H99" i="25"/>
  <c r="I99" i="25"/>
  <c r="J99" i="25"/>
  <c r="O99" i="25"/>
  <c r="P99" i="25"/>
  <c r="F111" i="25"/>
  <c r="F124" i="25" s="1"/>
  <c r="G111" i="25"/>
  <c r="G124" i="25" s="1"/>
  <c r="H111" i="25"/>
  <c r="H124" i="25" s="1"/>
  <c r="I111" i="25"/>
  <c r="I124" i="25" s="1"/>
  <c r="F112" i="25"/>
  <c r="F125" i="25" s="1"/>
  <c r="G112" i="25"/>
  <c r="G125" i="25" s="1"/>
  <c r="H112" i="25"/>
  <c r="H125" i="25" s="1"/>
  <c r="I112" i="25"/>
  <c r="N112" i="25" s="1"/>
  <c r="F113" i="25"/>
  <c r="F126" i="25" s="1"/>
  <c r="G113" i="25"/>
  <c r="G126" i="25" s="1"/>
  <c r="H113" i="25"/>
  <c r="H126" i="25" s="1"/>
  <c r="I113" i="25"/>
  <c r="I126" i="25" s="1"/>
  <c r="F114" i="25"/>
  <c r="F127" i="25" s="1"/>
  <c r="G114" i="25"/>
  <c r="H114" i="25"/>
  <c r="H127" i="25" s="1"/>
  <c r="I114" i="25"/>
  <c r="N114" i="25" s="1"/>
  <c r="F115" i="25"/>
  <c r="F128" i="25" s="1"/>
  <c r="G115" i="25"/>
  <c r="G128" i="25" s="1"/>
  <c r="H115" i="25"/>
  <c r="M115" i="25" s="1"/>
  <c r="I115" i="25"/>
  <c r="I128" i="25" s="1"/>
  <c r="N128" i="25" s="1"/>
  <c r="G110" i="25"/>
  <c r="G123" i="25" s="1"/>
  <c r="H110" i="25"/>
  <c r="H123" i="25" s="1"/>
  <c r="I110" i="25"/>
  <c r="I123" i="25" s="1"/>
  <c r="N123" i="25" s="1"/>
  <c r="F110" i="25"/>
  <c r="F123" i="25" s="1"/>
  <c r="G8" i="25"/>
  <c r="G21" i="25" s="1"/>
  <c r="G34" i="25" s="1"/>
  <c r="G47" i="25" s="1"/>
  <c r="G60" i="25" s="1"/>
  <c r="G73" i="25" s="1"/>
  <c r="G86" i="25" s="1"/>
  <c r="H86" i="25" s="1"/>
  <c r="G9" i="25"/>
  <c r="G22" i="25" s="1"/>
  <c r="G35" i="25" s="1"/>
  <c r="G48" i="25" s="1"/>
  <c r="G61" i="25" s="1"/>
  <c r="G74" i="25" s="1"/>
  <c r="G87" i="25" s="1"/>
  <c r="H87" i="25" s="1"/>
  <c r="G10" i="25"/>
  <c r="G23" i="25" s="1"/>
  <c r="G36" i="25" s="1"/>
  <c r="G49" i="25" s="1"/>
  <c r="G62" i="25" s="1"/>
  <c r="G75" i="25" s="1"/>
  <c r="G88" i="25" s="1"/>
  <c r="H88" i="25" s="1"/>
  <c r="G11" i="25"/>
  <c r="G24" i="25" s="1"/>
  <c r="G37" i="25" s="1"/>
  <c r="G50" i="25" s="1"/>
  <c r="G63" i="25" s="1"/>
  <c r="G76" i="25" s="1"/>
  <c r="G89" i="25" s="1"/>
  <c r="H89" i="25" s="1"/>
  <c r="G12" i="25"/>
  <c r="G25" i="25" s="1"/>
  <c r="G38" i="25" s="1"/>
  <c r="G51" i="25" s="1"/>
  <c r="G64" i="25" s="1"/>
  <c r="G77" i="25" s="1"/>
  <c r="G90" i="25" s="1"/>
  <c r="H90" i="25" s="1"/>
  <c r="G13" i="25"/>
  <c r="G26" i="25" s="1"/>
  <c r="G39" i="25" s="1"/>
  <c r="G52" i="25" s="1"/>
  <c r="G65" i="25" s="1"/>
  <c r="G78" i="25" s="1"/>
  <c r="G91" i="25" s="1"/>
  <c r="H91" i="25" s="1"/>
  <c r="G14" i="25"/>
  <c r="G27" i="25" s="1"/>
  <c r="G40" i="25" s="1"/>
  <c r="G53" i="25" s="1"/>
  <c r="G66" i="25" s="1"/>
  <c r="G79" i="25" s="1"/>
  <c r="G92" i="25" s="1"/>
  <c r="H92" i="25" s="1"/>
  <c r="G7" i="25"/>
  <c r="G20" i="25" s="1"/>
  <c r="G33" i="25" s="1"/>
  <c r="G46" i="25" s="1"/>
  <c r="G59" i="25" s="1"/>
  <c r="G72" i="25" s="1"/>
  <c r="G85" i="25" s="1"/>
  <c r="H85" i="25" s="1"/>
  <c r="F101" i="25"/>
  <c r="G101" i="25"/>
  <c r="H101" i="25"/>
  <c r="I101" i="25"/>
  <c r="J101" i="25"/>
  <c r="O101" i="25"/>
  <c r="P101" i="25"/>
  <c r="F102" i="25"/>
  <c r="G102" i="25"/>
  <c r="H102" i="25"/>
  <c r="I102" i="25"/>
  <c r="J102" i="25"/>
  <c r="O102" i="25"/>
  <c r="P102" i="25"/>
  <c r="C10" i="25"/>
  <c r="C13" i="18"/>
  <c r="C91" i="25"/>
  <c r="P98" i="25" s="1"/>
  <c r="C90" i="25"/>
  <c r="C89" i="25"/>
  <c r="C87" i="25"/>
  <c r="C78" i="25"/>
  <c r="O98" i="25" s="1"/>
  <c r="C77" i="25"/>
  <c r="C76" i="25"/>
  <c r="C74" i="25"/>
  <c r="C65" i="25"/>
  <c r="J98" i="25" s="1"/>
  <c r="C64" i="25"/>
  <c r="C63" i="25"/>
  <c r="C61" i="25"/>
  <c r="C52" i="25"/>
  <c r="I98" i="25" s="1"/>
  <c r="C51" i="25"/>
  <c r="C50" i="25"/>
  <c r="C39" i="25"/>
  <c r="H98" i="25" s="1"/>
  <c r="C38" i="25"/>
  <c r="C37" i="25"/>
  <c r="C35" i="25"/>
  <c r="B27" i="25"/>
  <c r="B40" i="25" s="1"/>
  <c r="B53" i="25" s="1"/>
  <c r="B66" i="25" s="1"/>
  <c r="B79" i="25" s="1"/>
  <c r="B92" i="25" s="1"/>
  <c r="C25" i="25"/>
  <c r="C24" i="25"/>
  <c r="B23" i="25"/>
  <c r="B36" i="25" s="1"/>
  <c r="B49" i="25" s="1"/>
  <c r="B62" i="25" s="1"/>
  <c r="B75" i="25" s="1"/>
  <c r="B88" i="25" s="1"/>
  <c r="C22" i="25"/>
  <c r="F14" i="25"/>
  <c r="F27" i="25" s="1"/>
  <c r="E14" i="25"/>
  <c r="E27" i="25" s="1"/>
  <c r="E40" i="25" s="1"/>
  <c r="E53" i="25" s="1"/>
  <c r="E66" i="25" s="1"/>
  <c r="E79" i="25" s="1"/>
  <c r="E92" i="25" s="1"/>
  <c r="C14" i="25"/>
  <c r="C27" i="25" s="1"/>
  <c r="F13" i="25"/>
  <c r="F26" i="25" s="1"/>
  <c r="F39" i="25" s="1"/>
  <c r="E13" i="25"/>
  <c r="E26" i="25" s="1"/>
  <c r="E39" i="25" s="1"/>
  <c r="E52" i="25" s="1"/>
  <c r="E65" i="25" s="1"/>
  <c r="E78" i="25" s="1"/>
  <c r="E91" i="25" s="1"/>
  <c r="C13" i="25"/>
  <c r="F98" i="25" s="1"/>
  <c r="B13" i="25"/>
  <c r="B26" i="25" s="1"/>
  <c r="B39" i="25" s="1"/>
  <c r="B52" i="25" s="1"/>
  <c r="B65" i="25" s="1"/>
  <c r="B78" i="25" s="1"/>
  <c r="B91" i="25" s="1"/>
  <c r="F12" i="25"/>
  <c r="F25" i="25" s="1"/>
  <c r="E12" i="25"/>
  <c r="E25" i="25" s="1"/>
  <c r="E38" i="25" s="1"/>
  <c r="E51" i="25" s="1"/>
  <c r="E64" i="25" s="1"/>
  <c r="E77" i="25" s="1"/>
  <c r="E90" i="25" s="1"/>
  <c r="C12" i="25"/>
  <c r="B12" i="25"/>
  <c r="B25" i="25" s="1"/>
  <c r="B38" i="25" s="1"/>
  <c r="B51" i="25" s="1"/>
  <c r="B64" i="25" s="1"/>
  <c r="B77" i="25" s="1"/>
  <c r="B90" i="25" s="1"/>
  <c r="F11" i="25"/>
  <c r="E11" i="25"/>
  <c r="E24" i="25" s="1"/>
  <c r="E37" i="25" s="1"/>
  <c r="E50" i="25" s="1"/>
  <c r="E63" i="25" s="1"/>
  <c r="E76" i="25" s="1"/>
  <c r="E89" i="25" s="1"/>
  <c r="C11" i="25"/>
  <c r="B11" i="25"/>
  <c r="B24" i="25" s="1"/>
  <c r="B37" i="25" s="1"/>
  <c r="B50" i="25" s="1"/>
  <c r="B63" i="25" s="1"/>
  <c r="B76" i="25" s="1"/>
  <c r="B89" i="25" s="1"/>
  <c r="F10" i="25"/>
  <c r="E10" i="25"/>
  <c r="E23" i="25" s="1"/>
  <c r="E36" i="25" s="1"/>
  <c r="E49" i="25" s="1"/>
  <c r="E62" i="25" s="1"/>
  <c r="E75" i="25" s="1"/>
  <c r="E88" i="25" s="1"/>
  <c r="F9" i="25"/>
  <c r="E9" i="25"/>
  <c r="E22" i="25" s="1"/>
  <c r="E35" i="25" s="1"/>
  <c r="E48" i="25" s="1"/>
  <c r="E61" i="25" s="1"/>
  <c r="E74" i="25" s="1"/>
  <c r="E87" i="25" s="1"/>
  <c r="C9" i="25"/>
  <c r="B9" i="25"/>
  <c r="B22" i="25" s="1"/>
  <c r="B35" i="25" s="1"/>
  <c r="B48" i="25" s="1"/>
  <c r="B61" i="25" s="1"/>
  <c r="B74" i="25" s="1"/>
  <c r="B87" i="25" s="1"/>
  <c r="F8" i="25"/>
  <c r="F21" i="25" s="1"/>
  <c r="E8" i="25"/>
  <c r="E21" i="25" s="1"/>
  <c r="E34" i="25" s="1"/>
  <c r="E47" i="25" s="1"/>
  <c r="E60" i="25" s="1"/>
  <c r="E73" i="25" s="1"/>
  <c r="E86" i="25" s="1"/>
  <c r="F7" i="25"/>
  <c r="F20" i="25" s="1"/>
  <c r="E7" i="25"/>
  <c r="E20" i="25" s="1"/>
  <c r="E33" i="25" s="1"/>
  <c r="E46" i="25" s="1"/>
  <c r="E59" i="25" s="1"/>
  <c r="E72" i="25" s="1"/>
  <c r="E85" i="25" s="1"/>
  <c r="I77" i="12"/>
  <c r="I91" i="12" s="1"/>
  <c r="I105" i="12" s="1"/>
  <c r="D77" i="12"/>
  <c r="D91" i="12" s="1"/>
  <c r="D105" i="12" s="1"/>
  <c r="E77" i="12"/>
  <c r="E91" i="12" s="1"/>
  <c r="E105" i="12" s="1"/>
  <c r="F77" i="12"/>
  <c r="F91" i="12" s="1"/>
  <c r="F105" i="12" s="1"/>
  <c r="G77" i="12"/>
  <c r="G91" i="12" s="1"/>
  <c r="G105" i="12" s="1"/>
  <c r="H77" i="12"/>
  <c r="H91" i="12" s="1"/>
  <c r="H105" i="12" s="1"/>
  <c r="C77" i="12"/>
  <c r="C91" i="12" s="1"/>
  <c r="C105" i="12" s="1"/>
  <c r="H135" i="12"/>
  <c r="H151" i="12" s="1"/>
  <c r="G135" i="12"/>
  <c r="G151" i="12" s="1"/>
  <c r="F135" i="12"/>
  <c r="F151" i="12" s="1"/>
  <c r="E135" i="12"/>
  <c r="E151" i="12" s="1"/>
  <c r="D135" i="12"/>
  <c r="D151" i="12" s="1"/>
  <c r="T101" i="18"/>
  <c r="U101" i="18" s="1"/>
  <c r="D163" i="12" l="1"/>
  <c r="E163" i="12"/>
  <c r="F163" i="12"/>
  <c r="G163" i="12"/>
  <c r="H163" i="12"/>
  <c r="G9" i="35"/>
  <c r="L9" i="35" s="1"/>
  <c r="G7" i="35"/>
  <c r="M7" i="35" s="1"/>
  <c r="I13" i="26"/>
  <c r="J13" i="26" s="1"/>
  <c r="G27" i="35"/>
  <c r="L27" i="35" s="1"/>
  <c r="G13" i="35"/>
  <c r="M13" i="35" s="1"/>
  <c r="F37" i="35"/>
  <c r="F50" i="35" s="1"/>
  <c r="O23" i="26"/>
  <c r="P23" i="26" s="1"/>
  <c r="G8" i="35"/>
  <c r="L8" i="35" s="1"/>
  <c r="F36" i="35"/>
  <c r="G36" i="35" s="1"/>
  <c r="G14" i="35"/>
  <c r="M14" i="35" s="1"/>
  <c r="G10" i="35"/>
  <c r="M10" i="35" s="1"/>
  <c r="G25" i="35"/>
  <c r="L25" i="35" s="1"/>
  <c r="G12" i="35"/>
  <c r="L12" i="35" s="1"/>
  <c r="G11" i="35"/>
  <c r="G22" i="35"/>
  <c r="F35" i="35"/>
  <c r="G40" i="35"/>
  <c r="F53" i="35"/>
  <c r="M23" i="35"/>
  <c r="L23" i="35"/>
  <c r="L13" i="35"/>
  <c r="G38" i="35"/>
  <c r="F51" i="35"/>
  <c r="F39" i="35"/>
  <c r="G26" i="35"/>
  <c r="F34" i="35"/>
  <c r="G21" i="35"/>
  <c r="G20" i="35"/>
  <c r="F33" i="35"/>
  <c r="M24" i="35"/>
  <c r="L24" i="35"/>
  <c r="I11" i="26"/>
  <c r="J11" i="26" s="1"/>
  <c r="I14" i="26"/>
  <c r="J14" i="26" s="1"/>
  <c r="I12" i="26"/>
  <c r="J12" i="26" s="1"/>
  <c r="I8" i="26"/>
  <c r="J8" i="26" s="1"/>
  <c r="I10" i="26"/>
  <c r="J10" i="26" s="1"/>
  <c r="I9" i="26"/>
  <c r="J9" i="26" s="1"/>
  <c r="I7" i="26"/>
  <c r="J7" i="26" s="1"/>
  <c r="C27" i="26"/>
  <c r="I24" i="26" s="1"/>
  <c r="J24" i="26" s="1"/>
  <c r="K69" i="34"/>
  <c r="L69" i="34" s="1"/>
  <c r="R69" i="34" s="1"/>
  <c r="I30" i="34"/>
  <c r="I40" i="34" s="1"/>
  <c r="I50" i="34" s="1"/>
  <c r="I60" i="34" s="1"/>
  <c r="I70" i="34" s="1"/>
  <c r="H32" i="34"/>
  <c r="H42" i="34" s="1"/>
  <c r="H52" i="34" s="1"/>
  <c r="H62" i="34" s="1"/>
  <c r="H72" i="34" s="1"/>
  <c r="J32" i="34"/>
  <c r="J42" i="34" s="1"/>
  <c r="J52" i="34" s="1"/>
  <c r="J62" i="34" s="1"/>
  <c r="J72" i="34" s="1"/>
  <c r="G33" i="34"/>
  <c r="G43" i="34" s="1"/>
  <c r="G53" i="34" s="1"/>
  <c r="G63" i="34" s="1"/>
  <c r="G73" i="34" s="1"/>
  <c r="G34" i="34"/>
  <c r="G44" i="34" s="1"/>
  <c r="G54" i="34" s="1"/>
  <c r="G64" i="34" s="1"/>
  <c r="G74" i="34" s="1"/>
  <c r="H33" i="34"/>
  <c r="H43" i="34" s="1"/>
  <c r="H53" i="34" s="1"/>
  <c r="H63" i="34" s="1"/>
  <c r="H73" i="34" s="1"/>
  <c r="I32" i="34"/>
  <c r="I42" i="34" s="1"/>
  <c r="I52" i="34" s="1"/>
  <c r="I62" i="34" s="1"/>
  <c r="I72" i="34" s="1"/>
  <c r="J30" i="34"/>
  <c r="J40" i="34" s="1"/>
  <c r="J50" i="34" s="1"/>
  <c r="J60" i="34" s="1"/>
  <c r="J70" i="34" s="1"/>
  <c r="H34" i="34"/>
  <c r="H44" i="34" s="1"/>
  <c r="H54" i="34" s="1"/>
  <c r="H64" i="34" s="1"/>
  <c r="H74" i="34" s="1"/>
  <c r="H31" i="34"/>
  <c r="H41" i="34" s="1"/>
  <c r="H51" i="34" s="1"/>
  <c r="H61" i="34" s="1"/>
  <c r="H71" i="34" s="1"/>
  <c r="K71" i="34" s="1"/>
  <c r="L71" i="34" s="1"/>
  <c r="K69" i="33"/>
  <c r="L69" i="33" s="1"/>
  <c r="R69" i="33" s="1"/>
  <c r="J30" i="33"/>
  <c r="J40" i="33" s="1"/>
  <c r="J50" i="33" s="1"/>
  <c r="J60" i="33" s="1"/>
  <c r="J70" i="33" s="1"/>
  <c r="H34" i="33"/>
  <c r="H44" i="33" s="1"/>
  <c r="H54" i="33" s="1"/>
  <c r="H64" i="33" s="1"/>
  <c r="H74" i="33" s="1"/>
  <c r="H33" i="33"/>
  <c r="H43" i="33" s="1"/>
  <c r="H53" i="33" s="1"/>
  <c r="H63" i="33" s="1"/>
  <c r="H73" i="33" s="1"/>
  <c r="G33" i="33"/>
  <c r="G43" i="33" s="1"/>
  <c r="G53" i="33" s="1"/>
  <c r="G63" i="33" s="1"/>
  <c r="G73" i="33" s="1"/>
  <c r="H32" i="33"/>
  <c r="H42" i="33" s="1"/>
  <c r="H52" i="33" s="1"/>
  <c r="H62" i="33" s="1"/>
  <c r="H72" i="33" s="1"/>
  <c r="G34" i="33"/>
  <c r="G44" i="33" s="1"/>
  <c r="G54" i="33" s="1"/>
  <c r="G64" i="33" s="1"/>
  <c r="G74" i="33" s="1"/>
  <c r="I32" i="33"/>
  <c r="I42" i="33" s="1"/>
  <c r="I52" i="33" s="1"/>
  <c r="I62" i="33" s="1"/>
  <c r="I72" i="33" s="1"/>
  <c r="I30" i="33"/>
  <c r="I40" i="33" s="1"/>
  <c r="I50" i="33" s="1"/>
  <c r="I60" i="33" s="1"/>
  <c r="I70" i="33" s="1"/>
  <c r="J32" i="33"/>
  <c r="J42" i="33" s="1"/>
  <c r="J52" i="33" s="1"/>
  <c r="J62" i="33" s="1"/>
  <c r="J72" i="33" s="1"/>
  <c r="H31" i="33"/>
  <c r="H41" i="33" s="1"/>
  <c r="H51" i="33" s="1"/>
  <c r="H61" i="33" s="1"/>
  <c r="H71" i="33" s="1"/>
  <c r="K71" i="33" s="1"/>
  <c r="L71" i="33" s="1"/>
  <c r="H50" i="32"/>
  <c r="H60" i="32" s="1"/>
  <c r="H70" i="32" s="1"/>
  <c r="H80" i="32" s="1"/>
  <c r="H90" i="32" s="1"/>
  <c r="K90" i="32" s="1"/>
  <c r="G52" i="32"/>
  <c r="G62" i="32" s="1"/>
  <c r="G72" i="32" s="1"/>
  <c r="G82" i="32" s="1"/>
  <c r="G92" i="32" s="1"/>
  <c r="J51" i="32"/>
  <c r="J61" i="32" s="1"/>
  <c r="J71" i="32" s="1"/>
  <c r="J81" i="32" s="1"/>
  <c r="J91" i="32" s="1"/>
  <c r="I51" i="32"/>
  <c r="I61" i="32" s="1"/>
  <c r="I71" i="32" s="1"/>
  <c r="I81" i="32" s="1"/>
  <c r="I91" i="32" s="1"/>
  <c r="J49" i="32"/>
  <c r="J59" i="32" s="1"/>
  <c r="J69" i="32" s="1"/>
  <c r="J79" i="32" s="1"/>
  <c r="J89" i="32" s="1"/>
  <c r="H51" i="32"/>
  <c r="H61" i="32" s="1"/>
  <c r="H71" i="32" s="1"/>
  <c r="H81" i="32" s="1"/>
  <c r="H91" i="32" s="1"/>
  <c r="G53" i="32"/>
  <c r="G63" i="32" s="1"/>
  <c r="G73" i="32" s="1"/>
  <c r="G83" i="32" s="1"/>
  <c r="G93" i="32" s="1"/>
  <c r="I49" i="32"/>
  <c r="I59" i="32" s="1"/>
  <c r="I69" i="32" s="1"/>
  <c r="I79" i="32" s="1"/>
  <c r="I89" i="32" s="1"/>
  <c r="H53" i="32"/>
  <c r="H63" i="32" s="1"/>
  <c r="H73" i="32" s="1"/>
  <c r="H83" i="32" s="1"/>
  <c r="H93" i="32" s="1"/>
  <c r="H52" i="32"/>
  <c r="H62" i="32" s="1"/>
  <c r="H72" i="32" s="1"/>
  <c r="H82" i="32" s="1"/>
  <c r="H92" i="32" s="1"/>
  <c r="C29" i="29"/>
  <c r="I14" i="29"/>
  <c r="J14" i="29" s="1"/>
  <c r="I11" i="29"/>
  <c r="J11" i="29" s="1"/>
  <c r="I12" i="29"/>
  <c r="J12" i="29" s="1"/>
  <c r="I13" i="29"/>
  <c r="J13" i="29" s="1"/>
  <c r="I10" i="29"/>
  <c r="J10" i="29" s="1"/>
  <c r="I15" i="29"/>
  <c r="J15" i="29" s="1"/>
  <c r="I16" i="29"/>
  <c r="J16" i="29" s="1"/>
  <c r="I9" i="29"/>
  <c r="J9" i="29" s="1"/>
  <c r="H29" i="29"/>
  <c r="G64" i="29"/>
  <c r="H64" i="29" s="1"/>
  <c r="O16" i="29"/>
  <c r="P16" i="29" s="1"/>
  <c r="O42" i="29"/>
  <c r="P42" i="29" s="1"/>
  <c r="F50" i="29"/>
  <c r="F93" i="29"/>
  <c r="O81" i="29"/>
  <c r="P81" i="29" s="1"/>
  <c r="H102" i="29"/>
  <c r="F53" i="29"/>
  <c r="O68" i="29"/>
  <c r="P68" i="29" s="1"/>
  <c r="H80" i="29"/>
  <c r="G93" i="29"/>
  <c r="F87" i="29"/>
  <c r="F64" i="29"/>
  <c r="G52" i="29"/>
  <c r="H39" i="29"/>
  <c r="P22" i="29"/>
  <c r="O29" i="29"/>
  <c r="P29" i="29" s="1"/>
  <c r="O102" i="29"/>
  <c r="G55" i="29"/>
  <c r="H42" i="29"/>
  <c r="H40" i="29"/>
  <c r="G53" i="29"/>
  <c r="G89" i="29"/>
  <c r="H76" i="29"/>
  <c r="O94" i="29"/>
  <c r="P94" i="29" s="1"/>
  <c r="P87" i="29"/>
  <c r="I102" i="29"/>
  <c r="G85" i="29"/>
  <c r="H72" i="29"/>
  <c r="O55" i="29"/>
  <c r="P55" i="29" s="1"/>
  <c r="F102" i="29"/>
  <c r="G74" i="29"/>
  <c r="H61" i="29"/>
  <c r="F65" i="29"/>
  <c r="H62" i="29"/>
  <c r="G75" i="29"/>
  <c r="F75" i="29"/>
  <c r="O7" i="26"/>
  <c r="P7" i="26" s="1"/>
  <c r="J111" i="26"/>
  <c r="H44" i="26"/>
  <c r="G57" i="26"/>
  <c r="O36" i="26"/>
  <c r="P36" i="26" s="1"/>
  <c r="O75" i="26"/>
  <c r="P75" i="26" s="1"/>
  <c r="O34" i="26"/>
  <c r="P34" i="26" s="1"/>
  <c r="O8" i="26"/>
  <c r="P8" i="26" s="1"/>
  <c r="O38" i="26"/>
  <c r="P38" i="26" s="1"/>
  <c r="J112" i="26"/>
  <c r="O59" i="26"/>
  <c r="P59" i="26" s="1"/>
  <c r="O78" i="26"/>
  <c r="P78" i="26" s="1"/>
  <c r="O51" i="26"/>
  <c r="P51" i="26" s="1"/>
  <c r="O88" i="26"/>
  <c r="P88" i="26" s="1"/>
  <c r="O47" i="26"/>
  <c r="P47" i="26" s="1"/>
  <c r="O11" i="26"/>
  <c r="P11" i="26" s="1"/>
  <c r="O48" i="26"/>
  <c r="P48" i="26" s="1"/>
  <c r="O46" i="26"/>
  <c r="P46" i="26" s="1"/>
  <c r="J114" i="26"/>
  <c r="O89" i="26"/>
  <c r="P89" i="26" s="1"/>
  <c r="O37" i="26"/>
  <c r="P37" i="26" s="1"/>
  <c r="O10" i="26"/>
  <c r="P10" i="26" s="1"/>
  <c r="Q10" i="26" s="1"/>
  <c r="R10" i="26" s="1"/>
  <c r="J113" i="26"/>
  <c r="O33" i="26"/>
  <c r="P33" i="26" s="1"/>
  <c r="O13" i="26"/>
  <c r="P13" i="26" s="1"/>
  <c r="Q13" i="26" s="1"/>
  <c r="R13" i="26" s="1"/>
  <c r="O63" i="26"/>
  <c r="P63" i="26" s="1"/>
  <c r="O74" i="26"/>
  <c r="P74" i="26" s="1"/>
  <c r="O35" i="26"/>
  <c r="P35" i="26" s="1"/>
  <c r="O9" i="26"/>
  <c r="P9" i="26" s="1"/>
  <c r="H27" i="26"/>
  <c r="G40" i="26"/>
  <c r="O77" i="26"/>
  <c r="P77" i="26" s="1"/>
  <c r="O61" i="26"/>
  <c r="P61" i="26" s="1"/>
  <c r="O72" i="26"/>
  <c r="P72" i="26" s="1"/>
  <c r="J110" i="26"/>
  <c r="O52" i="26"/>
  <c r="P52" i="26" s="1"/>
  <c r="O21" i="26"/>
  <c r="P21" i="26" s="1"/>
  <c r="O49" i="26"/>
  <c r="P49" i="26" s="1"/>
  <c r="O73" i="26"/>
  <c r="P73" i="26" s="1"/>
  <c r="O39" i="26"/>
  <c r="P39" i="26" s="1"/>
  <c r="O91" i="26"/>
  <c r="P91" i="26" s="1"/>
  <c r="O86" i="26"/>
  <c r="P86" i="26" s="1"/>
  <c r="O25" i="26"/>
  <c r="P25" i="26" s="1"/>
  <c r="O26" i="26"/>
  <c r="P26" i="26" s="1"/>
  <c r="G48" i="26"/>
  <c r="H35" i="26"/>
  <c r="H38" i="26"/>
  <c r="G51" i="26"/>
  <c r="F46" i="26"/>
  <c r="O85" i="26"/>
  <c r="F49" i="26"/>
  <c r="J115" i="26"/>
  <c r="O76" i="26"/>
  <c r="P76" i="26" s="1"/>
  <c r="O20" i="26"/>
  <c r="O60" i="26"/>
  <c r="P60" i="26" s="1"/>
  <c r="H34" i="26"/>
  <c r="G47" i="26"/>
  <c r="F50" i="26"/>
  <c r="G52" i="26"/>
  <c r="H39" i="26"/>
  <c r="O50" i="26"/>
  <c r="P50" i="26" s="1"/>
  <c r="O65" i="26"/>
  <c r="P65" i="26" s="1"/>
  <c r="O22" i="26"/>
  <c r="P22" i="26" s="1"/>
  <c r="O90" i="26"/>
  <c r="P90" i="26" s="1"/>
  <c r="F53" i="26"/>
  <c r="H20" i="26"/>
  <c r="G33" i="26"/>
  <c r="O12" i="26"/>
  <c r="P12" i="26" s="1"/>
  <c r="Q12" i="26" s="1"/>
  <c r="R12" i="26" s="1"/>
  <c r="F48" i="26"/>
  <c r="F51" i="26"/>
  <c r="O64" i="26"/>
  <c r="P64" i="26" s="1"/>
  <c r="G63" i="26"/>
  <c r="H50" i="26"/>
  <c r="F65" i="26"/>
  <c r="F47" i="26"/>
  <c r="O62" i="26"/>
  <c r="P62" i="26" s="1"/>
  <c r="O87" i="26"/>
  <c r="P87" i="26" s="1"/>
  <c r="O24" i="26"/>
  <c r="P24" i="26" s="1"/>
  <c r="H36" i="26"/>
  <c r="G49" i="26"/>
  <c r="I21" i="26"/>
  <c r="J21" i="26" s="1"/>
  <c r="N115" i="25"/>
  <c r="H128" i="25"/>
  <c r="M128" i="25" s="1"/>
  <c r="M113" i="25"/>
  <c r="N110" i="25"/>
  <c r="M111" i="25"/>
  <c r="K111" i="25"/>
  <c r="L114" i="25"/>
  <c r="L112" i="25"/>
  <c r="G127" i="25"/>
  <c r="K114" i="25"/>
  <c r="K113" i="25"/>
  <c r="I125" i="25"/>
  <c r="N125" i="25" s="1"/>
  <c r="K112" i="25"/>
  <c r="I127" i="25"/>
  <c r="N127" i="25" s="1"/>
  <c r="L115" i="25"/>
  <c r="L111" i="25"/>
  <c r="M114" i="25"/>
  <c r="N113" i="25"/>
  <c r="N111" i="25"/>
  <c r="H27" i="25"/>
  <c r="H53" i="25"/>
  <c r="H66" i="25"/>
  <c r="H40" i="25"/>
  <c r="H79" i="25"/>
  <c r="H14" i="25"/>
  <c r="H59" i="25"/>
  <c r="H13" i="25"/>
  <c r="H21" i="25"/>
  <c r="H34" i="25"/>
  <c r="H47" i="25"/>
  <c r="H60" i="25"/>
  <c r="H73" i="25"/>
  <c r="H33" i="25"/>
  <c r="H72" i="25"/>
  <c r="H12" i="25"/>
  <c r="H22" i="25"/>
  <c r="H35" i="25"/>
  <c r="H48" i="25"/>
  <c r="H61" i="25"/>
  <c r="H74" i="25"/>
  <c r="H7" i="25"/>
  <c r="H11" i="25"/>
  <c r="H23" i="25"/>
  <c r="H36" i="25"/>
  <c r="H49" i="25"/>
  <c r="H62" i="25"/>
  <c r="H75" i="25"/>
  <c r="H20" i="25"/>
  <c r="H10" i="25"/>
  <c r="H24" i="25"/>
  <c r="H37" i="25"/>
  <c r="H50" i="25"/>
  <c r="H63" i="25"/>
  <c r="H76" i="25"/>
  <c r="H46" i="25"/>
  <c r="H9" i="25"/>
  <c r="H25" i="25"/>
  <c r="H38" i="25"/>
  <c r="H51" i="25"/>
  <c r="H64" i="25"/>
  <c r="H77" i="25"/>
  <c r="H8" i="25"/>
  <c r="H26" i="25"/>
  <c r="H39" i="25"/>
  <c r="H52" i="25"/>
  <c r="H65" i="25"/>
  <c r="H78" i="25"/>
  <c r="L110" i="25"/>
  <c r="L113" i="25"/>
  <c r="K115" i="25"/>
  <c r="K110" i="25"/>
  <c r="M110" i="25"/>
  <c r="M112" i="25"/>
  <c r="M50" i="25"/>
  <c r="M91" i="25"/>
  <c r="I9" i="25"/>
  <c r="J9" i="25" s="1"/>
  <c r="L39" i="25"/>
  <c r="K87" i="25"/>
  <c r="L78" i="25"/>
  <c r="L89" i="25"/>
  <c r="K85" i="25"/>
  <c r="M87" i="25"/>
  <c r="M89" i="25"/>
  <c r="L87" i="25"/>
  <c r="L85" i="25"/>
  <c r="K88" i="25"/>
  <c r="K90" i="25"/>
  <c r="K86" i="25"/>
  <c r="M88" i="25"/>
  <c r="M90" i="25"/>
  <c r="M85" i="25"/>
  <c r="L88" i="25"/>
  <c r="L90" i="25"/>
  <c r="L86" i="25"/>
  <c r="K91" i="25"/>
  <c r="M86" i="25"/>
  <c r="L91" i="25"/>
  <c r="K89" i="25"/>
  <c r="K74" i="25"/>
  <c r="M73" i="25"/>
  <c r="K76" i="25"/>
  <c r="M78" i="25"/>
  <c r="L74" i="25"/>
  <c r="M76" i="25"/>
  <c r="K72" i="25"/>
  <c r="M74" i="25"/>
  <c r="K77" i="25"/>
  <c r="L72" i="25"/>
  <c r="K75" i="25"/>
  <c r="L77" i="25"/>
  <c r="L76" i="25"/>
  <c r="M72" i="25"/>
  <c r="L75" i="25"/>
  <c r="M77" i="25"/>
  <c r="K73" i="25"/>
  <c r="M75" i="25"/>
  <c r="K78" i="25"/>
  <c r="L73" i="25"/>
  <c r="M64" i="25"/>
  <c r="L25" i="25"/>
  <c r="M7" i="25"/>
  <c r="K65" i="25"/>
  <c r="L65" i="25"/>
  <c r="L60" i="25"/>
  <c r="K63" i="25"/>
  <c r="M65" i="25"/>
  <c r="K60" i="25"/>
  <c r="M60" i="25"/>
  <c r="L63" i="25"/>
  <c r="M59" i="25"/>
  <c r="K61" i="25"/>
  <c r="M63" i="25"/>
  <c r="M62" i="25"/>
  <c r="L61" i="25"/>
  <c r="K64" i="25"/>
  <c r="K59" i="25"/>
  <c r="M61" i="25"/>
  <c r="L64" i="25"/>
  <c r="L62" i="25"/>
  <c r="L59" i="25"/>
  <c r="K62" i="25"/>
  <c r="L48" i="25"/>
  <c r="K46" i="25"/>
  <c r="M48" i="25"/>
  <c r="L51" i="25"/>
  <c r="K51" i="25"/>
  <c r="L46" i="25"/>
  <c r="K49" i="25"/>
  <c r="M51" i="25"/>
  <c r="M46" i="25"/>
  <c r="L49" i="25"/>
  <c r="K52" i="25"/>
  <c r="K47" i="25"/>
  <c r="M49" i="25"/>
  <c r="L52" i="25"/>
  <c r="L47" i="25"/>
  <c r="K50" i="25"/>
  <c r="M52" i="25"/>
  <c r="M47" i="25"/>
  <c r="L50" i="25"/>
  <c r="K48" i="25"/>
  <c r="K35" i="25"/>
  <c r="M37" i="25"/>
  <c r="K37" i="25"/>
  <c r="L35" i="25"/>
  <c r="K38" i="25"/>
  <c r="M39" i="25"/>
  <c r="K33" i="25"/>
  <c r="M35" i="25"/>
  <c r="L38" i="25"/>
  <c r="L34" i="25"/>
  <c r="M34" i="25"/>
  <c r="L33" i="25"/>
  <c r="K36" i="25"/>
  <c r="M38" i="25"/>
  <c r="M33" i="25"/>
  <c r="L36" i="25"/>
  <c r="K39" i="25"/>
  <c r="L37" i="25"/>
  <c r="K34" i="25"/>
  <c r="M36" i="25"/>
  <c r="L20" i="25"/>
  <c r="K23" i="25"/>
  <c r="M25" i="25"/>
  <c r="M20" i="25"/>
  <c r="K21" i="25"/>
  <c r="M23" i="25"/>
  <c r="L26" i="25"/>
  <c r="L21" i="25"/>
  <c r="K24" i="25"/>
  <c r="M26" i="25"/>
  <c r="K26" i="25"/>
  <c r="M21" i="25"/>
  <c r="L24" i="25"/>
  <c r="K22" i="25"/>
  <c r="M24" i="25"/>
  <c r="L23" i="25"/>
  <c r="L22" i="25"/>
  <c r="K25" i="25"/>
  <c r="K20" i="25"/>
  <c r="M22" i="25"/>
  <c r="M9" i="25"/>
  <c r="L8" i="25"/>
  <c r="L9" i="25"/>
  <c r="M11" i="25"/>
  <c r="M8" i="25"/>
  <c r="L7" i="25"/>
  <c r="L10" i="25"/>
  <c r="M12" i="25"/>
  <c r="M10" i="25"/>
  <c r="L11" i="25"/>
  <c r="M13" i="25"/>
  <c r="L12" i="25"/>
  <c r="L13" i="25"/>
  <c r="K13" i="25"/>
  <c r="K7" i="25"/>
  <c r="K8" i="25"/>
  <c r="K9" i="25"/>
  <c r="K10" i="25"/>
  <c r="K11" i="25"/>
  <c r="K12" i="25"/>
  <c r="I11" i="25"/>
  <c r="J11" i="25" s="1"/>
  <c r="C40" i="25"/>
  <c r="I39" i="25" s="1"/>
  <c r="J39" i="25" s="1"/>
  <c r="I26" i="25"/>
  <c r="J26" i="25" s="1"/>
  <c r="F24" i="25"/>
  <c r="F37" i="25" s="1"/>
  <c r="I13" i="25"/>
  <c r="J13" i="25" s="1"/>
  <c r="F33" i="25"/>
  <c r="I20" i="25"/>
  <c r="J20" i="25" s="1"/>
  <c r="F34" i="25"/>
  <c r="I21" i="25"/>
  <c r="J21" i="25" s="1"/>
  <c r="I8" i="25"/>
  <c r="J8" i="25" s="1"/>
  <c r="I14" i="25"/>
  <c r="J14" i="25" s="1"/>
  <c r="F52" i="25"/>
  <c r="I7" i="25"/>
  <c r="J7" i="25" s="1"/>
  <c r="F23" i="25"/>
  <c r="I10" i="25"/>
  <c r="J10" i="25" s="1"/>
  <c r="F40" i="25"/>
  <c r="I27" i="25"/>
  <c r="J27" i="25" s="1"/>
  <c r="F38" i="25"/>
  <c r="I25" i="25"/>
  <c r="J25" i="25" s="1"/>
  <c r="F22" i="25"/>
  <c r="I12" i="25"/>
  <c r="J12" i="25" s="1"/>
  <c r="L102" i="18"/>
  <c r="L103" i="18"/>
  <c r="L104" i="18"/>
  <c r="L105" i="18"/>
  <c r="L106" i="18"/>
  <c r="L101" i="18"/>
  <c r="F102" i="18"/>
  <c r="G102" i="18"/>
  <c r="H102" i="18"/>
  <c r="F103" i="18"/>
  <c r="G103" i="18"/>
  <c r="H103" i="18"/>
  <c r="F104" i="18"/>
  <c r="G104" i="18"/>
  <c r="H104" i="18"/>
  <c r="F105" i="18"/>
  <c r="G105" i="18"/>
  <c r="H105" i="18"/>
  <c r="F106" i="18"/>
  <c r="G106" i="18"/>
  <c r="H106" i="18"/>
  <c r="G101" i="18"/>
  <c r="H101" i="18"/>
  <c r="F101" i="18"/>
  <c r="C93" i="18"/>
  <c r="C92" i="18"/>
  <c r="C91" i="18"/>
  <c r="C78" i="18"/>
  <c r="C90" i="18"/>
  <c r="C89" i="18"/>
  <c r="C80" i="18"/>
  <c r="C79" i="18"/>
  <c r="C65" i="18"/>
  <c r="C77" i="18"/>
  <c r="C76" i="18"/>
  <c r="C67" i="18"/>
  <c r="C66" i="18"/>
  <c r="C52" i="18"/>
  <c r="C64" i="18"/>
  <c r="C63" i="18"/>
  <c r="C54" i="18"/>
  <c r="C53" i="18"/>
  <c r="C39" i="18"/>
  <c r="C51" i="18"/>
  <c r="C50" i="18"/>
  <c r="C41" i="18"/>
  <c r="C40" i="18"/>
  <c r="C26" i="18"/>
  <c r="C38" i="18"/>
  <c r="C37" i="18"/>
  <c r="C27" i="18"/>
  <c r="B25" i="18"/>
  <c r="B38" i="18" s="1"/>
  <c r="B51" i="18" s="1"/>
  <c r="B64" i="18" s="1"/>
  <c r="B77" i="18" s="1"/>
  <c r="B90" i="18" s="1"/>
  <c r="B29" i="18"/>
  <c r="B42" i="18" s="1"/>
  <c r="B55" i="18" s="1"/>
  <c r="B68" i="18" s="1"/>
  <c r="B81" i="18" s="1"/>
  <c r="B94" i="18" s="1"/>
  <c r="C25" i="18"/>
  <c r="C24" i="18"/>
  <c r="C28" i="18"/>
  <c r="B15" i="18"/>
  <c r="B28" i="18" s="1"/>
  <c r="B41" i="18" s="1"/>
  <c r="B54" i="18" s="1"/>
  <c r="B67" i="18" s="1"/>
  <c r="B80" i="18" s="1"/>
  <c r="B93" i="18" s="1"/>
  <c r="B14" i="18"/>
  <c r="B27" i="18" s="1"/>
  <c r="B40" i="18" s="1"/>
  <c r="B53" i="18" s="1"/>
  <c r="B66" i="18" s="1"/>
  <c r="B79" i="18" s="1"/>
  <c r="B92" i="18" s="1"/>
  <c r="B13" i="18"/>
  <c r="B26" i="18" s="1"/>
  <c r="B39" i="18" s="1"/>
  <c r="B52" i="18" s="1"/>
  <c r="B65" i="18" s="1"/>
  <c r="B78" i="18" s="1"/>
  <c r="B91" i="18" s="1"/>
  <c r="B11" i="18"/>
  <c r="B24" i="18" s="1"/>
  <c r="B37" i="18" s="1"/>
  <c r="B50" i="18" s="1"/>
  <c r="B63" i="18" s="1"/>
  <c r="B76" i="18" s="1"/>
  <c r="B89" i="18" s="1"/>
  <c r="C11" i="18"/>
  <c r="C15" i="18"/>
  <c r="C12" i="18"/>
  <c r="C16" i="18"/>
  <c r="C29" i="18" s="1"/>
  <c r="C42" i="18" s="1"/>
  <c r="R71" i="33" l="1"/>
  <c r="E157" i="12" s="1"/>
  <c r="E169" i="12" s="1"/>
  <c r="R71" i="34"/>
  <c r="E158" i="12" s="1"/>
  <c r="E170" i="12" s="1"/>
  <c r="M9" i="35"/>
  <c r="L7" i="35"/>
  <c r="L14" i="35"/>
  <c r="M27" i="35"/>
  <c r="M8" i="35"/>
  <c r="G37" i="35"/>
  <c r="L37" i="35" s="1"/>
  <c r="Q7" i="26"/>
  <c r="R7" i="26" s="1"/>
  <c r="L10" i="35"/>
  <c r="F49" i="35"/>
  <c r="F62" i="35" s="1"/>
  <c r="M12" i="35"/>
  <c r="M25" i="35"/>
  <c r="Q8" i="26"/>
  <c r="R8" i="26" s="1"/>
  <c r="M71" i="33"/>
  <c r="N71" i="33" s="1"/>
  <c r="O71" i="33" s="1"/>
  <c r="P71" i="33" s="1"/>
  <c r="Q71" i="33" s="1"/>
  <c r="Q9" i="26"/>
  <c r="R9" i="26" s="1"/>
  <c r="M11" i="35"/>
  <c r="L11" i="35"/>
  <c r="Q11" i="26"/>
  <c r="R11" i="26" s="1"/>
  <c r="G51" i="35"/>
  <c r="F64" i="35"/>
  <c r="M20" i="35"/>
  <c r="L20" i="35"/>
  <c r="L38" i="35"/>
  <c r="M38" i="35"/>
  <c r="M21" i="35"/>
  <c r="L21" i="35"/>
  <c r="G53" i="35"/>
  <c r="F66" i="35"/>
  <c r="G33" i="35"/>
  <c r="F46" i="35"/>
  <c r="G34" i="35"/>
  <c r="F47" i="35"/>
  <c r="M40" i="35"/>
  <c r="L40" i="35"/>
  <c r="M26" i="35"/>
  <c r="L26" i="35"/>
  <c r="G35" i="35"/>
  <c r="F48" i="35"/>
  <c r="G39" i="35"/>
  <c r="F52" i="35"/>
  <c r="M22" i="35"/>
  <c r="L22" i="35"/>
  <c r="F63" i="35"/>
  <c r="G50" i="35"/>
  <c r="M36" i="35"/>
  <c r="L36" i="35"/>
  <c r="K74" i="33"/>
  <c r="L74" i="33" s="1"/>
  <c r="I25" i="26"/>
  <c r="J25" i="26" s="1"/>
  <c r="I26" i="26"/>
  <c r="J26" i="26" s="1"/>
  <c r="I22" i="26"/>
  <c r="J22" i="26" s="1"/>
  <c r="C40" i="26"/>
  <c r="I33" i="26" s="1"/>
  <c r="J33" i="26" s="1"/>
  <c r="I23" i="26"/>
  <c r="J23" i="26" s="1"/>
  <c r="I27" i="26"/>
  <c r="J27" i="26" s="1"/>
  <c r="I20" i="26"/>
  <c r="J20" i="26" s="1"/>
  <c r="K73" i="33"/>
  <c r="L73" i="33" s="1"/>
  <c r="K70" i="33"/>
  <c r="L70" i="33" s="1"/>
  <c r="K72" i="33"/>
  <c r="L72" i="33" s="1"/>
  <c r="M71" i="34"/>
  <c r="N71" i="34" s="1"/>
  <c r="O71" i="34" s="1"/>
  <c r="P71" i="34" s="1"/>
  <c r="Q71" i="34" s="1"/>
  <c r="K70" i="34"/>
  <c r="L70" i="34" s="1"/>
  <c r="K74" i="34"/>
  <c r="L74" i="34" s="1"/>
  <c r="K73" i="34"/>
  <c r="L73" i="34" s="1"/>
  <c r="K72" i="34"/>
  <c r="L72" i="34" s="1"/>
  <c r="L90" i="32"/>
  <c r="K93" i="32"/>
  <c r="K89" i="32"/>
  <c r="K91" i="32"/>
  <c r="K92" i="32"/>
  <c r="Q11" i="29"/>
  <c r="R11" i="29" s="1"/>
  <c r="Q9" i="29"/>
  <c r="R9" i="29" s="1"/>
  <c r="Q13" i="29"/>
  <c r="R13" i="29" s="1"/>
  <c r="Q12" i="29"/>
  <c r="R12" i="29" s="1"/>
  <c r="Q15" i="29"/>
  <c r="R15" i="29" s="1"/>
  <c r="Q16" i="29"/>
  <c r="R16" i="29" s="1"/>
  <c r="Q14" i="29"/>
  <c r="R14" i="29" s="1"/>
  <c r="C42" i="29"/>
  <c r="I29" i="29"/>
  <c r="J29" i="29" s="1"/>
  <c r="I26" i="29"/>
  <c r="I23" i="29"/>
  <c r="I25" i="29"/>
  <c r="I28" i="29"/>
  <c r="I24" i="29"/>
  <c r="I22" i="29"/>
  <c r="J22" i="29" s="1"/>
  <c r="I27" i="29"/>
  <c r="Q10" i="29"/>
  <c r="R10" i="29" s="1"/>
  <c r="G77" i="29"/>
  <c r="H77" i="29" s="1"/>
  <c r="Q24" i="26"/>
  <c r="R24" i="26" s="1"/>
  <c r="H85" i="29"/>
  <c r="G68" i="29"/>
  <c r="H55" i="29"/>
  <c r="H74" i="29"/>
  <c r="G87" i="29"/>
  <c r="F66" i="29"/>
  <c r="F88" i="29"/>
  <c r="G65" i="29"/>
  <c r="H52" i="29"/>
  <c r="G88" i="29"/>
  <c r="H75" i="29"/>
  <c r="H89" i="29"/>
  <c r="F77" i="29"/>
  <c r="H53" i="29"/>
  <c r="G66" i="29"/>
  <c r="P102" i="29"/>
  <c r="H93" i="29"/>
  <c r="F63" i="29"/>
  <c r="F78" i="29"/>
  <c r="G102" i="29"/>
  <c r="G70" i="26"/>
  <c r="H57" i="26"/>
  <c r="O66" i="26"/>
  <c r="P66" i="26" s="1"/>
  <c r="O40" i="26"/>
  <c r="P40" i="26" s="1"/>
  <c r="O14" i="26"/>
  <c r="P14" i="26" s="1"/>
  <c r="Q14" i="26" s="1"/>
  <c r="R14" i="26" s="1"/>
  <c r="F100" i="26"/>
  <c r="O53" i="26"/>
  <c r="P53" i="26" s="1"/>
  <c r="G53" i="26"/>
  <c r="H40" i="26"/>
  <c r="O79" i="26"/>
  <c r="P79" i="26" s="1"/>
  <c r="P85" i="26"/>
  <c r="O92" i="26"/>
  <c r="P92" i="26" s="1"/>
  <c r="J100" i="26"/>
  <c r="G60" i="26"/>
  <c r="H47" i="26"/>
  <c r="I100" i="26"/>
  <c r="F66" i="26"/>
  <c r="G46" i="26"/>
  <c r="H33" i="26"/>
  <c r="H49" i="26"/>
  <c r="G62" i="26"/>
  <c r="F60" i="26"/>
  <c r="O100" i="26"/>
  <c r="F59" i="26"/>
  <c r="F78" i="26"/>
  <c r="H51" i="26"/>
  <c r="G64" i="26"/>
  <c r="F64" i="26"/>
  <c r="F61" i="26"/>
  <c r="G65" i="26"/>
  <c r="H52" i="26"/>
  <c r="P20" i="26"/>
  <c r="O27" i="26"/>
  <c r="P27" i="26" s="1"/>
  <c r="F62" i="26"/>
  <c r="Q21" i="26"/>
  <c r="R21" i="26" s="1"/>
  <c r="G76" i="26"/>
  <c r="H63" i="26"/>
  <c r="F63" i="26"/>
  <c r="G61" i="26"/>
  <c r="H48" i="26"/>
  <c r="H100" i="26"/>
  <c r="J114" i="25"/>
  <c r="J115" i="25"/>
  <c r="J112" i="25"/>
  <c r="J111" i="25"/>
  <c r="J110" i="25"/>
  <c r="J113" i="25"/>
  <c r="I24" i="25"/>
  <c r="J24" i="25" s="1"/>
  <c r="O25" i="25"/>
  <c r="O89" i="25"/>
  <c r="O50" i="25"/>
  <c r="O87" i="25"/>
  <c r="O88" i="25"/>
  <c r="O52" i="25"/>
  <c r="O91" i="25"/>
  <c r="O90" i="25"/>
  <c r="O74" i="25"/>
  <c r="O85" i="25"/>
  <c r="O86" i="25"/>
  <c r="O73" i="25"/>
  <c r="O72" i="25"/>
  <c r="O78" i="25"/>
  <c r="O75" i="25"/>
  <c r="O76" i="25"/>
  <c r="O77" i="25"/>
  <c r="O62" i="25"/>
  <c r="O59" i="25"/>
  <c r="O64" i="25"/>
  <c r="O60" i="25"/>
  <c r="O61" i="25"/>
  <c r="O63" i="25"/>
  <c r="O65" i="25"/>
  <c r="O38" i="25"/>
  <c r="O23" i="25"/>
  <c r="O35" i="25"/>
  <c r="O47" i="25"/>
  <c r="O49" i="25"/>
  <c r="O51" i="25"/>
  <c r="O48" i="25"/>
  <c r="O46" i="25"/>
  <c r="O33" i="25"/>
  <c r="O39" i="25"/>
  <c r="O34" i="25"/>
  <c r="O37" i="25"/>
  <c r="O36" i="25"/>
  <c r="O24" i="25"/>
  <c r="O22" i="25"/>
  <c r="O21" i="25"/>
  <c r="O20" i="25"/>
  <c r="O26" i="25"/>
  <c r="O9" i="25"/>
  <c r="O13" i="25"/>
  <c r="O12" i="25"/>
  <c r="O8" i="25"/>
  <c r="O7" i="25"/>
  <c r="O11" i="25"/>
  <c r="O10" i="25"/>
  <c r="C53" i="25"/>
  <c r="C66" i="25" s="1"/>
  <c r="C79" i="25" s="1"/>
  <c r="C92" i="25" s="1"/>
  <c r="I23" i="25"/>
  <c r="J23" i="25" s="1"/>
  <c r="F36" i="25"/>
  <c r="F35" i="25"/>
  <c r="I22" i="25"/>
  <c r="J22" i="25" s="1"/>
  <c r="I38" i="25"/>
  <c r="J38" i="25" s="1"/>
  <c r="F51" i="25"/>
  <c r="F65" i="25"/>
  <c r="F47" i="25"/>
  <c r="I34" i="25"/>
  <c r="J34" i="25" s="1"/>
  <c r="F53" i="25"/>
  <c r="I40" i="25"/>
  <c r="J40" i="25" s="1"/>
  <c r="F46" i="25"/>
  <c r="I33" i="25"/>
  <c r="J33" i="25" s="1"/>
  <c r="F50" i="25"/>
  <c r="I37" i="25"/>
  <c r="J37" i="25" s="1"/>
  <c r="J36" i="18"/>
  <c r="J27" i="18"/>
  <c r="K92" i="18"/>
  <c r="J89" i="18"/>
  <c r="J88" i="18"/>
  <c r="I92" i="18"/>
  <c r="I91" i="18"/>
  <c r="I90" i="18"/>
  <c r="J87" i="18"/>
  <c r="K93" i="18"/>
  <c r="K87" i="18"/>
  <c r="I89" i="18"/>
  <c r="K89" i="18"/>
  <c r="J92" i="18"/>
  <c r="I87" i="18"/>
  <c r="J90" i="18"/>
  <c r="I93" i="18"/>
  <c r="I88" i="18"/>
  <c r="K90" i="18"/>
  <c r="J93" i="18"/>
  <c r="K88" i="18"/>
  <c r="J91" i="18"/>
  <c r="K91" i="18"/>
  <c r="J76" i="18"/>
  <c r="K76" i="18"/>
  <c r="J79" i="18"/>
  <c r="I79" i="18"/>
  <c r="K78" i="18"/>
  <c r="I77" i="18"/>
  <c r="K79" i="18"/>
  <c r="I74" i="18"/>
  <c r="J77" i="18"/>
  <c r="I80" i="18"/>
  <c r="J74" i="18"/>
  <c r="I75" i="18"/>
  <c r="K77" i="18"/>
  <c r="J80" i="18"/>
  <c r="K74" i="18"/>
  <c r="J75" i="18"/>
  <c r="I78" i="18"/>
  <c r="K80" i="18"/>
  <c r="K75" i="18"/>
  <c r="J78" i="18"/>
  <c r="I76" i="18"/>
  <c r="K66" i="18"/>
  <c r="I64" i="18"/>
  <c r="I66" i="18"/>
  <c r="K63" i="18"/>
  <c r="J66" i="18"/>
  <c r="I67" i="18"/>
  <c r="J61" i="18"/>
  <c r="I62" i="18"/>
  <c r="K64" i="18"/>
  <c r="J67" i="18"/>
  <c r="I61" i="18"/>
  <c r="K61" i="18"/>
  <c r="I65" i="18"/>
  <c r="K67" i="18"/>
  <c r="J62" i="18"/>
  <c r="K62" i="18"/>
  <c r="J65" i="18"/>
  <c r="K65" i="18"/>
  <c r="J64" i="18"/>
  <c r="I63" i="18"/>
  <c r="J63" i="18"/>
  <c r="C55" i="18"/>
  <c r="C68" i="18" s="1"/>
  <c r="C81" i="18" s="1"/>
  <c r="C94" i="18" s="1"/>
  <c r="I48" i="18"/>
  <c r="I53" i="18"/>
  <c r="J51" i="18"/>
  <c r="K50" i="18"/>
  <c r="J53" i="18"/>
  <c r="I51" i="18"/>
  <c r="K53" i="18"/>
  <c r="I54" i="18"/>
  <c r="J48" i="18"/>
  <c r="I49" i="18"/>
  <c r="K51" i="18"/>
  <c r="J54" i="18"/>
  <c r="I52" i="18"/>
  <c r="K54" i="18"/>
  <c r="K49" i="18"/>
  <c r="J52" i="18"/>
  <c r="K48" i="18"/>
  <c r="J49" i="18"/>
  <c r="I50" i="18"/>
  <c r="K52" i="18"/>
  <c r="J50" i="18"/>
  <c r="K28" i="18"/>
  <c r="K35" i="18"/>
  <c r="I35" i="18"/>
  <c r="I38" i="18"/>
  <c r="I25" i="18"/>
  <c r="J37" i="18"/>
  <c r="K38" i="18"/>
  <c r="I36" i="18"/>
  <c r="J38" i="18"/>
  <c r="I37" i="18"/>
  <c r="J41" i="18"/>
  <c r="I40" i="18"/>
  <c r="K36" i="18"/>
  <c r="I41" i="18"/>
  <c r="K37" i="18"/>
  <c r="J35" i="18"/>
  <c r="K41" i="18"/>
  <c r="K39" i="18"/>
  <c r="J39" i="18"/>
  <c r="K40" i="18"/>
  <c r="I39" i="18"/>
  <c r="J40" i="18"/>
  <c r="J28" i="18"/>
  <c r="I27" i="18"/>
  <c r="K23" i="18"/>
  <c r="I28" i="18"/>
  <c r="J22" i="18"/>
  <c r="K24" i="18"/>
  <c r="I26" i="18"/>
  <c r="J23" i="18"/>
  <c r="K25" i="18"/>
  <c r="I22" i="18"/>
  <c r="J24" i="18"/>
  <c r="K26" i="18"/>
  <c r="K22" i="18"/>
  <c r="I23" i="18"/>
  <c r="J25" i="18"/>
  <c r="K27" i="18"/>
  <c r="I24" i="18"/>
  <c r="J26" i="18"/>
  <c r="M72" i="33" l="1"/>
  <c r="N72" i="33" s="1"/>
  <c r="O72" i="33" s="1"/>
  <c r="P72" i="33" s="1"/>
  <c r="Q72" i="33" s="1"/>
  <c r="F141" i="12" s="1"/>
  <c r="R72" i="33"/>
  <c r="F157" i="12" s="1"/>
  <c r="F169" i="12" s="1"/>
  <c r="M90" i="32"/>
  <c r="N90" i="32" s="1"/>
  <c r="O90" i="32" s="1"/>
  <c r="P90" i="32" s="1"/>
  <c r="Q90" i="32" s="1"/>
  <c r="E140" i="12" s="1"/>
  <c r="R90" i="32"/>
  <c r="E156" i="12" s="1"/>
  <c r="E168" i="12" s="1"/>
  <c r="M73" i="33"/>
  <c r="N73" i="33" s="1"/>
  <c r="O73" i="33" s="1"/>
  <c r="P73" i="33" s="1"/>
  <c r="Q73" i="33" s="1"/>
  <c r="G141" i="12" s="1"/>
  <c r="R73" i="33"/>
  <c r="G157" i="12" s="1"/>
  <c r="G169" i="12" s="1"/>
  <c r="M74" i="33"/>
  <c r="N74" i="33" s="1"/>
  <c r="O74" i="33" s="1"/>
  <c r="P74" i="33" s="1"/>
  <c r="Q74" i="33" s="1"/>
  <c r="H141" i="12" s="1"/>
  <c r="R74" i="33"/>
  <c r="H157" i="12" s="1"/>
  <c r="H169" i="12" s="1"/>
  <c r="M72" i="34"/>
  <c r="N72" i="34" s="1"/>
  <c r="O72" i="34" s="1"/>
  <c r="P72" i="34" s="1"/>
  <c r="Q72" i="34" s="1"/>
  <c r="F142" i="12" s="1"/>
  <c r="R72" i="34"/>
  <c r="F158" i="12" s="1"/>
  <c r="F170" i="12" s="1"/>
  <c r="M70" i="33"/>
  <c r="N70" i="33" s="1"/>
  <c r="O70" i="33" s="1"/>
  <c r="P70" i="33" s="1"/>
  <c r="Q70" i="33" s="1"/>
  <c r="D141" i="12" s="1"/>
  <c r="R70" i="33"/>
  <c r="D157" i="12" s="1"/>
  <c r="D169" i="12" s="1"/>
  <c r="M73" i="34"/>
  <c r="N73" i="34" s="1"/>
  <c r="O73" i="34" s="1"/>
  <c r="P73" i="34" s="1"/>
  <c r="Q73" i="34" s="1"/>
  <c r="G142" i="12" s="1"/>
  <c r="R73" i="34"/>
  <c r="G158" i="12" s="1"/>
  <c r="G170" i="12" s="1"/>
  <c r="M74" i="34"/>
  <c r="N74" i="34" s="1"/>
  <c r="O74" i="34" s="1"/>
  <c r="P74" i="34" s="1"/>
  <c r="Q74" i="34" s="1"/>
  <c r="H142" i="12" s="1"/>
  <c r="R74" i="34"/>
  <c r="H158" i="12" s="1"/>
  <c r="H170" i="12" s="1"/>
  <c r="M70" i="34"/>
  <c r="N70" i="34" s="1"/>
  <c r="O70" i="34" s="1"/>
  <c r="P70" i="34" s="1"/>
  <c r="Q70" i="34" s="1"/>
  <c r="D142" i="12" s="1"/>
  <c r="R70" i="34"/>
  <c r="D158" i="12" s="1"/>
  <c r="D170" i="12" s="1"/>
  <c r="M37" i="35"/>
  <c r="G49" i="35"/>
  <c r="L49" i="35" s="1"/>
  <c r="M15" i="35"/>
  <c r="F102" i="35" s="1"/>
  <c r="N106" i="35" s="1"/>
  <c r="E141" i="12"/>
  <c r="P21" i="25"/>
  <c r="Q21" i="25" s="1"/>
  <c r="R21" i="25" s="1"/>
  <c r="P46" i="25"/>
  <c r="I100" i="25" s="1"/>
  <c r="P76" i="25"/>
  <c r="P90" i="25"/>
  <c r="E142" i="12"/>
  <c r="P7" i="25"/>
  <c r="Q7" i="25" s="1"/>
  <c r="R7" i="25" s="1"/>
  <c r="P22" i="25"/>
  <c r="Q22" i="25" s="1"/>
  <c r="R22" i="25" s="1"/>
  <c r="P48" i="25"/>
  <c r="P63" i="25"/>
  <c r="P75" i="25"/>
  <c r="G34" i="12"/>
  <c r="Q104" i="18" s="1"/>
  <c r="P24" i="25"/>
  <c r="Q24" i="25" s="1"/>
  <c r="R24" i="25" s="1"/>
  <c r="P51" i="25"/>
  <c r="P61" i="25"/>
  <c r="G31" i="12"/>
  <c r="Q101" i="18" s="1"/>
  <c r="P36" i="25"/>
  <c r="P49" i="25"/>
  <c r="P60" i="25"/>
  <c r="P72" i="25"/>
  <c r="O100" i="25" s="1"/>
  <c r="P88" i="25"/>
  <c r="G32" i="12"/>
  <c r="Q102" i="18" s="1"/>
  <c r="P37" i="25"/>
  <c r="Q37" i="25" s="1"/>
  <c r="R37" i="25" s="1"/>
  <c r="P47" i="25"/>
  <c r="P64" i="25"/>
  <c r="P73" i="25"/>
  <c r="P87" i="25"/>
  <c r="G33" i="12"/>
  <c r="Q103" i="18" s="1"/>
  <c r="P34" i="25"/>
  <c r="Q34" i="25" s="1"/>
  <c r="R34" i="25" s="1"/>
  <c r="P35" i="25"/>
  <c r="P59" i="25"/>
  <c r="J100" i="25" s="1"/>
  <c r="P86" i="25"/>
  <c r="P50" i="25"/>
  <c r="G36" i="12"/>
  <c r="Q106" i="18" s="1"/>
  <c r="P23" i="25"/>
  <c r="Q23" i="25" s="1"/>
  <c r="R23" i="25" s="1"/>
  <c r="P62" i="25"/>
  <c r="P85" i="25"/>
  <c r="P100" i="25" s="1"/>
  <c r="P89" i="25"/>
  <c r="G35" i="12"/>
  <c r="Q105" i="18" s="1"/>
  <c r="P20" i="25"/>
  <c r="G100" i="25" s="1"/>
  <c r="P33" i="25"/>
  <c r="H100" i="25" s="1"/>
  <c r="P38" i="25"/>
  <c r="Q38" i="25" s="1"/>
  <c r="R38" i="25" s="1"/>
  <c r="P77" i="25"/>
  <c r="P74" i="25"/>
  <c r="R15" i="26"/>
  <c r="F103" i="26" s="1"/>
  <c r="K148" i="26" s="1"/>
  <c r="I39" i="26"/>
  <c r="J39" i="26" s="1"/>
  <c r="Q22" i="26"/>
  <c r="R22" i="26" s="1"/>
  <c r="M50" i="35"/>
  <c r="L50" i="35"/>
  <c r="G52" i="35"/>
  <c r="F65" i="35"/>
  <c r="F76" i="35"/>
  <c r="G63" i="35"/>
  <c r="M39" i="35"/>
  <c r="L39" i="35"/>
  <c r="G47" i="35"/>
  <c r="F60" i="35"/>
  <c r="G62" i="35"/>
  <c r="F75" i="35"/>
  <c r="G48" i="35"/>
  <c r="F61" i="35"/>
  <c r="M34" i="35"/>
  <c r="L34" i="35"/>
  <c r="L35" i="35"/>
  <c r="M35" i="35"/>
  <c r="G46" i="35"/>
  <c r="F59" i="35"/>
  <c r="L33" i="35"/>
  <c r="M33" i="35"/>
  <c r="M28" i="35"/>
  <c r="G102" i="35" s="1"/>
  <c r="G66" i="35"/>
  <c r="F79" i="35"/>
  <c r="G64" i="35"/>
  <c r="F77" i="35"/>
  <c r="L53" i="35"/>
  <c r="M53" i="35"/>
  <c r="L51" i="35"/>
  <c r="M51" i="35"/>
  <c r="I35" i="26"/>
  <c r="J35" i="26" s="1"/>
  <c r="Q25" i="26"/>
  <c r="R25" i="26" s="1"/>
  <c r="I36" i="26"/>
  <c r="J36" i="26" s="1"/>
  <c r="Q27" i="26"/>
  <c r="R27" i="26" s="1"/>
  <c r="C53" i="26"/>
  <c r="I47" i="26" s="1"/>
  <c r="J47" i="26" s="1"/>
  <c r="I37" i="26"/>
  <c r="J37" i="26" s="1"/>
  <c r="I34" i="26"/>
  <c r="Q26" i="26"/>
  <c r="R26" i="26" s="1"/>
  <c r="I38" i="26"/>
  <c r="J38" i="26" s="1"/>
  <c r="I40" i="26"/>
  <c r="J40" i="26" s="1"/>
  <c r="Q33" i="26"/>
  <c r="R33" i="26" s="1"/>
  <c r="Q23" i="26"/>
  <c r="R23" i="26" s="1"/>
  <c r="L92" i="32"/>
  <c r="L91" i="32"/>
  <c r="L89" i="32"/>
  <c r="L93" i="32"/>
  <c r="G90" i="29"/>
  <c r="H90" i="29" s="1"/>
  <c r="R17" i="29"/>
  <c r="Q29" i="29"/>
  <c r="R29" i="29" s="1"/>
  <c r="Q22" i="29"/>
  <c r="R22" i="29" s="1"/>
  <c r="J24" i="29"/>
  <c r="Q24" i="29"/>
  <c r="R24" i="29" s="1"/>
  <c r="J28" i="29"/>
  <c r="Q28" i="29"/>
  <c r="R28" i="29" s="1"/>
  <c r="J25" i="29"/>
  <c r="Q25" i="29"/>
  <c r="R25" i="29" s="1"/>
  <c r="J23" i="29"/>
  <c r="Q23" i="29"/>
  <c r="R23" i="29" s="1"/>
  <c r="J26" i="29"/>
  <c r="Q26" i="29"/>
  <c r="R26" i="29" s="1"/>
  <c r="J27" i="29"/>
  <c r="Q27" i="29"/>
  <c r="R27" i="29" s="1"/>
  <c r="I41" i="29"/>
  <c r="I36" i="29"/>
  <c r="C55" i="29"/>
  <c r="I35" i="29"/>
  <c r="I39" i="29"/>
  <c r="I42" i="29"/>
  <c r="I38" i="29"/>
  <c r="I40" i="29"/>
  <c r="I37" i="29"/>
  <c r="F76" i="29"/>
  <c r="F90" i="29"/>
  <c r="H87" i="29"/>
  <c r="G79" i="29"/>
  <c r="H66" i="29"/>
  <c r="G78" i="29"/>
  <c r="H65" i="29"/>
  <c r="H88" i="29"/>
  <c r="G81" i="29"/>
  <c r="H68" i="29"/>
  <c r="F79" i="29"/>
  <c r="F91" i="29"/>
  <c r="F91" i="26"/>
  <c r="H70" i="26"/>
  <c r="G83" i="26"/>
  <c r="H53" i="26"/>
  <c r="G66" i="26"/>
  <c r="P100" i="26"/>
  <c r="F77" i="26"/>
  <c r="F74" i="26"/>
  <c r="F79" i="26"/>
  <c r="G78" i="26"/>
  <c r="H65" i="26"/>
  <c r="G59" i="26"/>
  <c r="H46" i="26"/>
  <c r="F76" i="26"/>
  <c r="G89" i="26"/>
  <c r="H76" i="26"/>
  <c r="F75" i="26"/>
  <c r="G75" i="26"/>
  <c r="H62" i="26"/>
  <c r="H60" i="26"/>
  <c r="G73" i="26"/>
  <c r="H64" i="26"/>
  <c r="G77" i="26"/>
  <c r="F73" i="26"/>
  <c r="G74" i="26"/>
  <c r="H61" i="26"/>
  <c r="F72" i="26"/>
  <c r="Q20" i="26"/>
  <c r="R20" i="26" s="1"/>
  <c r="G100" i="26"/>
  <c r="D84" i="12"/>
  <c r="P26" i="25"/>
  <c r="Q26" i="25" s="1"/>
  <c r="R26" i="25" s="1"/>
  <c r="P25" i="25"/>
  <c r="Q25" i="25" s="1"/>
  <c r="R25" i="25" s="1"/>
  <c r="G84" i="12"/>
  <c r="P65" i="25"/>
  <c r="I84" i="12"/>
  <c r="P91" i="25"/>
  <c r="E84" i="12"/>
  <c r="P39" i="25"/>
  <c r="Q39" i="25" s="1"/>
  <c r="R39" i="25" s="1"/>
  <c r="H84" i="12"/>
  <c r="P78" i="25"/>
  <c r="F84" i="12"/>
  <c r="P52" i="25"/>
  <c r="D83" i="12"/>
  <c r="D82" i="12"/>
  <c r="O14" i="25"/>
  <c r="C78" i="12"/>
  <c r="D80" i="12"/>
  <c r="F80" i="12"/>
  <c r="G82" i="12"/>
  <c r="H81" i="12"/>
  <c r="P8" i="25"/>
  <c r="Q8" i="25" s="1"/>
  <c r="R8" i="25" s="1"/>
  <c r="C79" i="12"/>
  <c r="P12" i="25"/>
  <c r="Q12" i="25" s="1"/>
  <c r="R12" i="25" s="1"/>
  <c r="C83" i="12"/>
  <c r="E81" i="12"/>
  <c r="F81" i="12"/>
  <c r="G79" i="12"/>
  <c r="H78" i="12"/>
  <c r="O79" i="25"/>
  <c r="I81" i="12"/>
  <c r="F83" i="12"/>
  <c r="P13" i="25"/>
  <c r="Q13" i="25" s="1"/>
  <c r="R13" i="25" s="1"/>
  <c r="C84" i="12"/>
  <c r="E82" i="12"/>
  <c r="F79" i="12"/>
  <c r="G83" i="12"/>
  <c r="H79" i="12"/>
  <c r="I80" i="12"/>
  <c r="G80" i="12"/>
  <c r="P9" i="25"/>
  <c r="Q9" i="25" s="1"/>
  <c r="R9" i="25" s="1"/>
  <c r="C80" i="12"/>
  <c r="E79" i="12"/>
  <c r="E80" i="12"/>
  <c r="G78" i="12"/>
  <c r="O66" i="25"/>
  <c r="I79" i="12"/>
  <c r="F82" i="12"/>
  <c r="D81" i="12"/>
  <c r="G81" i="12"/>
  <c r="I78" i="12"/>
  <c r="O92" i="25"/>
  <c r="P10" i="25"/>
  <c r="Q10" i="25" s="1"/>
  <c r="R10" i="25" s="1"/>
  <c r="C81" i="12"/>
  <c r="O27" i="25"/>
  <c r="D78" i="12"/>
  <c r="O40" i="25"/>
  <c r="E78" i="12"/>
  <c r="E83" i="12"/>
  <c r="H83" i="12"/>
  <c r="H80" i="12"/>
  <c r="P11" i="25"/>
  <c r="Q11" i="25" s="1"/>
  <c r="R11" i="25" s="1"/>
  <c r="C82" i="12"/>
  <c r="D79" i="12"/>
  <c r="F78" i="12"/>
  <c r="O53" i="25"/>
  <c r="H82" i="12"/>
  <c r="I83" i="12"/>
  <c r="I82" i="12"/>
  <c r="I52" i="25"/>
  <c r="J52" i="25" s="1"/>
  <c r="F60" i="25"/>
  <c r="I47" i="25"/>
  <c r="J47" i="25" s="1"/>
  <c r="I50" i="25"/>
  <c r="J50" i="25" s="1"/>
  <c r="F63" i="25"/>
  <c r="I36" i="25"/>
  <c r="F49" i="25"/>
  <c r="I65" i="25"/>
  <c r="F78" i="25"/>
  <c r="F64" i="25"/>
  <c r="I51" i="25"/>
  <c r="F59" i="25"/>
  <c r="I46" i="25"/>
  <c r="I53" i="25"/>
  <c r="J53" i="25" s="1"/>
  <c r="F66" i="25"/>
  <c r="I35" i="25"/>
  <c r="F48" i="25"/>
  <c r="L92" i="18"/>
  <c r="L89" i="18"/>
  <c r="L93" i="18"/>
  <c r="L90" i="18"/>
  <c r="L87" i="18"/>
  <c r="L91" i="18"/>
  <c r="L88" i="18"/>
  <c r="L76" i="18"/>
  <c r="L78" i="18"/>
  <c r="L79" i="18"/>
  <c r="L75" i="18"/>
  <c r="L80" i="18"/>
  <c r="L74" i="18"/>
  <c r="L77" i="18"/>
  <c r="L66" i="18"/>
  <c r="L64" i="18"/>
  <c r="L62" i="18"/>
  <c r="L65" i="18"/>
  <c r="L67" i="18"/>
  <c r="L63" i="18"/>
  <c r="L61" i="18"/>
  <c r="L48" i="18"/>
  <c r="L53" i="18"/>
  <c r="L54" i="18"/>
  <c r="L49" i="18"/>
  <c r="L51" i="18"/>
  <c r="L52" i="18"/>
  <c r="L50" i="18"/>
  <c r="L23" i="18"/>
  <c r="L40" i="18"/>
  <c r="L38" i="18"/>
  <c r="L37" i="18"/>
  <c r="L36" i="18"/>
  <c r="L35" i="18"/>
  <c r="L41" i="18"/>
  <c r="L39" i="18"/>
  <c r="L24" i="18"/>
  <c r="L25" i="18"/>
  <c r="L28" i="18"/>
  <c r="L26" i="18"/>
  <c r="L22" i="18"/>
  <c r="L27" i="18"/>
  <c r="M93" i="32" l="1"/>
  <c r="N93" i="32" s="1"/>
  <c r="O93" i="32" s="1"/>
  <c r="P93" i="32" s="1"/>
  <c r="Q93" i="32" s="1"/>
  <c r="H140" i="12" s="1"/>
  <c r="R93" i="32"/>
  <c r="H156" i="12" s="1"/>
  <c r="H168" i="12" s="1"/>
  <c r="M89" i="32"/>
  <c r="N89" i="32" s="1"/>
  <c r="O89" i="32" s="1"/>
  <c r="P89" i="32" s="1"/>
  <c r="Q89" i="32" s="1"/>
  <c r="D140" i="12" s="1"/>
  <c r="R89" i="32"/>
  <c r="D156" i="12" s="1"/>
  <c r="D168" i="12" s="1"/>
  <c r="M91" i="32"/>
  <c r="N91" i="32" s="1"/>
  <c r="O91" i="32" s="1"/>
  <c r="P91" i="32" s="1"/>
  <c r="Q91" i="32" s="1"/>
  <c r="F140" i="12" s="1"/>
  <c r="R91" i="32"/>
  <c r="F156" i="12" s="1"/>
  <c r="F168" i="12" s="1"/>
  <c r="M92" i="32"/>
  <c r="N92" i="32" s="1"/>
  <c r="O92" i="32" s="1"/>
  <c r="P92" i="32" s="1"/>
  <c r="Q92" i="32" s="1"/>
  <c r="G140" i="12" s="1"/>
  <c r="R92" i="32"/>
  <c r="G156" i="12" s="1"/>
  <c r="G168" i="12" s="1"/>
  <c r="N108" i="35"/>
  <c r="M49" i="35"/>
  <c r="N109" i="35"/>
  <c r="N107" i="35"/>
  <c r="Q40" i="26"/>
  <c r="R40" i="26" s="1"/>
  <c r="K149" i="26"/>
  <c r="Q33" i="25"/>
  <c r="R33" i="25" s="1"/>
  <c r="F100" i="25"/>
  <c r="Q20" i="25"/>
  <c r="R20" i="25" s="1"/>
  <c r="G93" i="12"/>
  <c r="D96" i="12"/>
  <c r="E94" i="12"/>
  <c r="F98" i="12"/>
  <c r="G95" i="12"/>
  <c r="H94" i="12"/>
  <c r="D92" i="12"/>
  <c r="D98" i="12"/>
  <c r="F97" i="12"/>
  <c r="I93" i="12"/>
  <c r="E93" i="12"/>
  <c r="I97" i="12"/>
  <c r="E95" i="12"/>
  <c r="G97" i="12"/>
  <c r="D95" i="12"/>
  <c r="E97" i="12"/>
  <c r="F92" i="12"/>
  <c r="H95" i="12"/>
  <c r="I96" i="12"/>
  <c r="H92" i="12"/>
  <c r="D94" i="12"/>
  <c r="G92" i="12"/>
  <c r="E96" i="12"/>
  <c r="F94" i="12"/>
  <c r="G94" i="12"/>
  <c r="H98" i="12"/>
  <c r="I95" i="12"/>
  <c r="P53" i="25"/>
  <c r="Q53" i="25" s="1"/>
  <c r="R53" i="25" s="1"/>
  <c r="I92" i="12"/>
  <c r="F96" i="12"/>
  <c r="H93" i="12"/>
  <c r="D93" i="12"/>
  <c r="E98" i="12"/>
  <c r="G98" i="12"/>
  <c r="I98" i="12"/>
  <c r="D97" i="12"/>
  <c r="E92" i="12"/>
  <c r="F95" i="12"/>
  <c r="G96" i="12"/>
  <c r="H97" i="12"/>
  <c r="I94" i="12"/>
  <c r="C85" i="12"/>
  <c r="K146" i="26"/>
  <c r="F93" i="12"/>
  <c r="H96" i="12"/>
  <c r="K147" i="26"/>
  <c r="Q39" i="26"/>
  <c r="R39" i="26" s="1"/>
  <c r="M41" i="35"/>
  <c r="H102" i="35" s="1"/>
  <c r="O108" i="35" s="1"/>
  <c r="G59" i="35"/>
  <c r="F72" i="35"/>
  <c r="G61" i="35"/>
  <c r="F74" i="35"/>
  <c r="M63" i="35"/>
  <c r="L63" i="35"/>
  <c r="G77" i="35"/>
  <c r="F90" i="35"/>
  <c r="G90" i="35" s="1"/>
  <c r="L46" i="35"/>
  <c r="M46" i="35"/>
  <c r="L48" i="35"/>
  <c r="M48" i="35"/>
  <c r="G76" i="35"/>
  <c r="F89" i="35"/>
  <c r="G89" i="35" s="1"/>
  <c r="M64" i="35"/>
  <c r="L64" i="35"/>
  <c r="G75" i="35"/>
  <c r="F88" i="35"/>
  <c r="G88" i="35" s="1"/>
  <c r="G65" i="35"/>
  <c r="F78" i="35"/>
  <c r="G79" i="35"/>
  <c r="F92" i="35"/>
  <c r="G92" i="35" s="1"/>
  <c r="M62" i="35"/>
  <c r="L62" i="35"/>
  <c r="M52" i="35"/>
  <c r="L52" i="35"/>
  <c r="L66" i="35"/>
  <c r="M66" i="35"/>
  <c r="G60" i="35"/>
  <c r="F73" i="35"/>
  <c r="O107" i="35"/>
  <c r="O106" i="35"/>
  <c r="M47" i="35"/>
  <c r="L47" i="35"/>
  <c r="R28" i="26"/>
  <c r="G103" i="26" s="1"/>
  <c r="L146" i="26" s="1"/>
  <c r="Q35" i="26"/>
  <c r="R35" i="26" s="1"/>
  <c r="Q36" i="26"/>
  <c r="R36" i="26" s="1"/>
  <c r="Q37" i="26"/>
  <c r="R37" i="26" s="1"/>
  <c r="C66" i="26"/>
  <c r="I61" i="26" s="1"/>
  <c r="J61" i="26" s="1"/>
  <c r="I50" i="26"/>
  <c r="J50" i="26" s="1"/>
  <c r="Q38" i="26"/>
  <c r="R38" i="26" s="1"/>
  <c r="I53" i="26"/>
  <c r="J53" i="26" s="1"/>
  <c r="Q47" i="26"/>
  <c r="R47" i="26" s="1"/>
  <c r="I48" i="26"/>
  <c r="J48" i="26" s="1"/>
  <c r="I51" i="26"/>
  <c r="J51" i="26" s="1"/>
  <c r="I46" i="26"/>
  <c r="J46" i="26" s="1"/>
  <c r="I49" i="26"/>
  <c r="J49" i="26" s="1"/>
  <c r="I52" i="26"/>
  <c r="J52" i="26" s="1"/>
  <c r="J34" i="26"/>
  <c r="Q34" i="26"/>
  <c r="R34" i="26" s="1"/>
  <c r="J36" i="29"/>
  <c r="Q36" i="29"/>
  <c r="R36" i="29" s="1"/>
  <c r="Q37" i="29"/>
  <c r="R37" i="29" s="1"/>
  <c r="J37" i="29"/>
  <c r="J41" i="29"/>
  <c r="Q41" i="29"/>
  <c r="R41" i="29" s="1"/>
  <c r="Q40" i="29"/>
  <c r="R40" i="29" s="1"/>
  <c r="J40" i="29"/>
  <c r="J38" i="29"/>
  <c r="Q38" i="29"/>
  <c r="R38" i="29" s="1"/>
  <c r="J42" i="29"/>
  <c r="Q42" i="29"/>
  <c r="R42" i="29" s="1"/>
  <c r="J39" i="29"/>
  <c r="Q39" i="29"/>
  <c r="R39" i="29" s="1"/>
  <c r="J35" i="29"/>
  <c r="Q35" i="29"/>
  <c r="R35" i="29" s="1"/>
  <c r="C68" i="29"/>
  <c r="I54" i="29"/>
  <c r="I48" i="29"/>
  <c r="I55" i="29"/>
  <c r="I49" i="29"/>
  <c r="I51" i="29"/>
  <c r="I52" i="29"/>
  <c r="I50" i="29"/>
  <c r="I53" i="29"/>
  <c r="R30" i="29"/>
  <c r="F92" i="29"/>
  <c r="F89" i="29"/>
  <c r="G91" i="29"/>
  <c r="H78" i="29"/>
  <c r="H79" i="29"/>
  <c r="G92" i="29"/>
  <c r="G94" i="29"/>
  <c r="H81" i="29"/>
  <c r="H83" i="26"/>
  <c r="G120" i="26"/>
  <c r="H89" i="26"/>
  <c r="G126" i="26"/>
  <c r="F128" i="26"/>
  <c r="G79" i="26"/>
  <c r="H66" i="26"/>
  <c r="G72" i="26"/>
  <c r="H59" i="26"/>
  <c r="G91" i="26"/>
  <c r="H78" i="26"/>
  <c r="F90" i="26"/>
  <c r="H75" i="26"/>
  <c r="G88" i="26"/>
  <c r="F87" i="26"/>
  <c r="F86" i="26"/>
  <c r="F85" i="26"/>
  <c r="G86" i="26"/>
  <c r="H73" i="26"/>
  <c r="F88" i="26"/>
  <c r="G90" i="26"/>
  <c r="H77" i="26"/>
  <c r="F89" i="26"/>
  <c r="G87" i="26"/>
  <c r="H74" i="26"/>
  <c r="F92" i="26"/>
  <c r="D85" i="12"/>
  <c r="P27" i="25"/>
  <c r="Q27" i="25" s="1"/>
  <c r="R27" i="25" s="1"/>
  <c r="G85" i="12"/>
  <c r="P66" i="25"/>
  <c r="I85" i="12"/>
  <c r="P92" i="25"/>
  <c r="E85" i="12"/>
  <c r="P40" i="25"/>
  <c r="Q40" i="25" s="1"/>
  <c r="R40" i="25" s="1"/>
  <c r="H85" i="12"/>
  <c r="P79" i="25"/>
  <c r="F85" i="12"/>
  <c r="P14" i="25"/>
  <c r="Q14" i="25" s="1"/>
  <c r="R14" i="25" s="1"/>
  <c r="R15" i="25" s="1"/>
  <c r="F103" i="25" s="1"/>
  <c r="Q65" i="25"/>
  <c r="R65" i="25" s="1"/>
  <c r="Q50" i="25"/>
  <c r="R50" i="25" s="1"/>
  <c r="Q46" i="25"/>
  <c r="R46" i="25" s="1"/>
  <c r="Q36" i="25"/>
  <c r="R36" i="25" s="1"/>
  <c r="Q52" i="25"/>
  <c r="R52" i="25" s="1"/>
  <c r="Q51" i="25"/>
  <c r="R51" i="25" s="1"/>
  <c r="Q47" i="25"/>
  <c r="R47" i="25" s="1"/>
  <c r="Q35" i="25"/>
  <c r="R35" i="25" s="1"/>
  <c r="J35" i="25"/>
  <c r="J65" i="25"/>
  <c r="J36" i="25"/>
  <c r="J46" i="25"/>
  <c r="J51" i="25"/>
  <c r="F91" i="25"/>
  <c r="I91" i="25" s="1"/>
  <c r="Q91" i="25" s="1"/>
  <c r="R91" i="25" s="1"/>
  <c r="I78" i="25"/>
  <c r="Q78" i="25" s="1"/>
  <c r="R78" i="25" s="1"/>
  <c r="F79" i="25"/>
  <c r="I66" i="25"/>
  <c r="I60" i="25"/>
  <c r="Q60" i="25" s="1"/>
  <c r="R60" i="25" s="1"/>
  <c r="F73" i="25"/>
  <c r="F62" i="25"/>
  <c r="I49" i="25"/>
  <c r="Q49" i="25" s="1"/>
  <c r="R49" i="25" s="1"/>
  <c r="I59" i="25"/>
  <c r="Q59" i="25" s="1"/>
  <c r="R59" i="25" s="1"/>
  <c r="F72" i="25"/>
  <c r="F61" i="25"/>
  <c r="I48" i="25"/>
  <c r="Q48" i="25" s="1"/>
  <c r="R48" i="25" s="1"/>
  <c r="F76" i="25"/>
  <c r="I63" i="25"/>
  <c r="Q63" i="25" s="1"/>
  <c r="R63" i="25" s="1"/>
  <c r="F77" i="25"/>
  <c r="I64" i="25"/>
  <c r="Q64" i="25" s="1"/>
  <c r="R64" i="25" s="1"/>
  <c r="L94" i="18"/>
  <c r="L81" i="18"/>
  <c r="L68" i="18"/>
  <c r="L55" i="18"/>
  <c r="L42" i="18"/>
  <c r="L29" i="18"/>
  <c r="Q51" i="26" l="1"/>
  <c r="R51" i="26" s="1"/>
  <c r="R28" i="25"/>
  <c r="G103" i="25" s="1"/>
  <c r="L123" i="25" s="1"/>
  <c r="I99" i="12"/>
  <c r="H99" i="12"/>
  <c r="G99" i="12"/>
  <c r="D99" i="12"/>
  <c r="E99" i="12"/>
  <c r="F99" i="12"/>
  <c r="Q46" i="26"/>
  <c r="R46" i="26" s="1"/>
  <c r="I59" i="26"/>
  <c r="J59" i="26" s="1"/>
  <c r="O109" i="35"/>
  <c r="I65" i="26"/>
  <c r="J65" i="26" s="1"/>
  <c r="Q49" i="26"/>
  <c r="R49" i="26" s="1"/>
  <c r="M92" i="35"/>
  <c r="L92" i="35"/>
  <c r="M89" i="35"/>
  <c r="L89" i="35"/>
  <c r="L79" i="35"/>
  <c r="M79" i="35"/>
  <c r="M76" i="35"/>
  <c r="L76" i="35"/>
  <c r="L77" i="35"/>
  <c r="M77" i="35"/>
  <c r="F91" i="35"/>
  <c r="G91" i="35" s="1"/>
  <c r="G78" i="35"/>
  <c r="G74" i="35"/>
  <c r="F87" i="35"/>
  <c r="G87" i="35" s="1"/>
  <c r="M65" i="35"/>
  <c r="L65" i="35"/>
  <c r="L61" i="35"/>
  <c r="M61" i="35"/>
  <c r="L60" i="35"/>
  <c r="M60" i="35"/>
  <c r="L88" i="35"/>
  <c r="M88" i="35"/>
  <c r="M54" i="35"/>
  <c r="L102" i="35" s="1"/>
  <c r="G72" i="35"/>
  <c r="F85" i="35"/>
  <c r="G85" i="35" s="1"/>
  <c r="L75" i="35"/>
  <c r="M75" i="35"/>
  <c r="M59" i="35"/>
  <c r="L59" i="35"/>
  <c r="I62" i="26"/>
  <c r="J62" i="26" s="1"/>
  <c r="G73" i="35"/>
  <c r="F86" i="35"/>
  <c r="G86" i="35" s="1"/>
  <c r="M90" i="35"/>
  <c r="L90" i="35"/>
  <c r="L147" i="26"/>
  <c r="I66" i="26"/>
  <c r="J66" i="26" s="1"/>
  <c r="Q61" i="26"/>
  <c r="R61" i="26" s="1"/>
  <c r="Q50" i="26"/>
  <c r="R50" i="26" s="1"/>
  <c r="Q52" i="26"/>
  <c r="R52" i="26" s="1"/>
  <c r="I64" i="26"/>
  <c r="J64" i="26" s="1"/>
  <c r="I60" i="26"/>
  <c r="J60" i="26" s="1"/>
  <c r="C79" i="26"/>
  <c r="I77" i="26" s="1"/>
  <c r="J77" i="26" s="1"/>
  <c r="I63" i="26"/>
  <c r="J63" i="26" s="1"/>
  <c r="R41" i="26"/>
  <c r="H103" i="26" s="1"/>
  <c r="L149" i="26" s="1"/>
  <c r="Q48" i="26"/>
  <c r="R48" i="26" s="1"/>
  <c r="Q53" i="26"/>
  <c r="R53" i="26" s="1"/>
  <c r="R43" i="29"/>
  <c r="J52" i="29"/>
  <c r="Q52" i="29"/>
  <c r="R52" i="29" s="1"/>
  <c r="J51" i="29"/>
  <c r="Q51" i="29"/>
  <c r="R51" i="29" s="1"/>
  <c r="J49" i="29"/>
  <c r="Q49" i="29"/>
  <c r="R49" i="29" s="1"/>
  <c r="J55" i="29"/>
  <c r="Q55" i="29"/>
  <c r="R55" i="29" s="1"/>
  <c r="J48" i="29"/>
  <c r="Q48" i="29"/>
  <c r="R48" i="29" s="1"/>
  <c r="J54" i="29"/>
  <c r="Q54" i="29"/>
  <c r="R54" i="29" s="1"/>
  <c r="J53" i="29"/>
  <c r="Q53" i="29"/>
  <c r="R53" i="29" s="1"/>
  <c r="C81" i="29"/>
  <c r="I67" i="29"/>
  <c r="I68" i="29"/>
  <c r="I61" i="29"/>
  <c r="I62" i="29"/>
  <c r="I65" i="29"/>
  <c r="I64" i="29"/>
  <c r="I63" i="29"/>
  <c r="I66" i="29"/>
  <c r="Q50" i="29"/>
  <c r="R50" i="29" s="1"/>
  <c r="J50" i="29"/>
  <c r="H92" i="29"/>
  <c r="H91" i="29"/>
  <c r="H94" i="29"/>
  <c r="F124" i="26"/>
  <c r="F123" i="26"/>
  <c r="F129" i="26"/>
  <c r="F125" i="26"/>
  <c r="H86" i="26"/>
  <c r="G123" i="26"/>
  <c r="H88" i="26"/>
  <c r="G125" i="26"/>
  <c r="F127" i="26"/>
  <c r="H87" i="26"/>
  <c r="G124" i="26"/>
  <c r="F122" i="26"/>
  <c r="H91" i="26"/>
  <c r="G128" i="26"/>
  <c r="I72" i="26"/>
  <c r="J72" i="26" s="1"/>
  <c r="F126" i="26"/>
  <c r="H90" i="26"/>
  <c r="G127" i="26"/>
  <c r="H79" i="26"/>
  <c r="G92" i="26"/>
  <c r="G85" i="26"/>
  <c r="H72" i="26"/>
  <c r="Q66" i="25"/>
  <c r="R66" i="25" s="1"/>
  <c r="K123" i="25"/>
  <c r="K124" i="25"/>
  <c r="K125" i="25"/>
  <c r="K126" i="25"/>
  <c r="R41" i="25"/>
  <c r="H103" i="25" s="1"/>
  <c r="R54" i="25"/>
  <c r="I103" i="25" s="1"/>
  <c r="J63" i="25"/>
  <c r="J91" i="25"/>
  <c r="J48" i="25"/>
  <c r="J49" i="25"/>
  <c r="J60" i="25"/>
  <c r="J59" i="25"/>
  <c r="J66" i="25"/>
  <c r="J64" i="25"/>
  <c r="J78" i="25"/>
  <c r="F90" i="25"/>
  <c r="I90" i="25" s="1"/>
  <c r="Q90" i="25" s="1"/>
  <c r="R90" i="25" s="1"/>
  <c r="I77" i="25"/>
  <c r="Q77" i="25" s="1"/>
  <c r="R77" i="25" s="1"/>
  <c r="F89" i="25"/>
  <c r="I89" i="25" s="1"/>
  <c r="Q89" i="25" s="1"/>
  <c r="R89" i="25" s="1"/>
  <c r="I76" i="25"/>
  <c r="Q76" i="25" s="1"/>
  <c r="R76" i="25" s="1"/>
  <c r="F92" i="25"/>
  <c r="I92" i="25" s="1"/>
  <c r="Q92" i="25" s="1"/>
  <c r="R92" i="25" s="1"/>
  <c r="I79" i="25"/>
  <c r="Q79" i="25" s="1"/>
  <c r="R79" i="25" s="1"/>
  <c r="F74" i="25"/>
  <c r="I61" i="25"/>
  <c r="Q61" i="25" s="1"/>
  <c r="R61" i="25" s="1"/>
  <c r="F85" i="25"/>
  <c r="I85" i="25" s="1"/>
  <c r="Q85" i="25" s="1"/>
  <c r="R85" i="25" s="1"/>
  <c r="I72" i="25"/>
  <c r="Q72" i="25" s="1"/>
  <c r="R72" i="25" s="1"/>
  <c r="F75" i="25"/>
  <c r="I62" i="25"/>
  <c r="Q62" i="25" s="1"/>
  <c r="R62" i="25" s="1"/>
  <c r="F86" i="25"/>
  <c r="I86" i="25" s="1"/>
  <c r="Q86" i="25" s="1"/>
  <c r="R86" i="25" s="1"/>
  <c r="I73" i="25"/>
  <c r="Q73" i="25" s="1"/>
  <c r="R73" i="25" s="1"/>
  <c r="L124" i="25" l="1"/>
  <c r="Q65" i="26"/>
  <c r="R65" i="26" s="1"/>
  <c r="Q64" i="26"/>
  <c r="R64" i="26" s="1"/>
  <c r="Q59" i="26"/>
  <c r="R59" i="26" s="1"/>
  <c r="C92" i="26"/>
  <c r="I91" i="26" s="1"/>
  <c r="J91" i="26" s="1"/>
  <c r="Q62" i="26"/>
  <c r="R62" i="26" s="1"/>
  <c r="I73" i="26"/>
  <c r="J73" i="26" s="1"/>
  <c r="Q77" i="26"/>
  <c r="R77" i="26" s="1"/>
  <c r="Q63" i="26"/>
  <c r="R63" i="26" s="1"/>
  <c r="I75" i="26"/>
  <c r="J75" i="26" s="1"/>
  <c r="L73" i="35"/>
  <c r="M73" i="35"/>
  <c r="M87" i="35"/>
  <c r="L87" i="35"/>
  <c r="M74" i="35"/>
  <c r="L74" i="35"/>
  <c r="M67" i="35"/>
  <c r="M102" i="35" s="1"/>
  <c r="M78" i="35"/>
  <c r="L78" i="35"/>
  <c r="M91" i="35"/>
  <c r="L91" i="35"/>
  <c r="M85" i="35"/>
  <c r="L85" i="35"/>
  <c r="P106" i="35"/>
  <c r="M106" i="35" s="1"/>
  <c r="U106" i="35" s="1"/>
  <c r="P110" i="35"/>
  <c r="P108" i="35"/>
  <c r="M108" i="35" s="1"/>
  <c r="M86" i="35"/>
  <c r="L86" i="35"/>
  <c r="M72" i="35"/>
  <c r="L72" i="35"/>
  <c r="L148" i="26"/>
  <c r="I78" i="26"/>
  <c r="J78" i="26" s="1"/>
  <c r="R54" i="26"/>
  <c r="I103" i="26" s="1"/>
  <c r="M150" i="26" s="1"/>
  <c r="Q66" i="26"/>
  <c r="R66" i="26" s="1"/>
  <c r="I79" i="26"/>
  <c r="J79" i="26" s="1"/>
  <c r="I76" i="26"/>
  <c r="J76" i="26" s="1"/>
  <c r="I74" i="26"/>
  <c r="J74" i="26" s="1"/>
  <c r="Q60" i="26"/>
  <c r="R60" i="26" s="1"/>
  <c r="R56" i="29"/>
  <c r="J66" i="29"/>
  <c r="Q66" i="29"/>
  <c r="R66" i="29" s="1"/>
  <c r="C94" i="29"/>
  <c r="I81" i="29"/>
  <c r="I80" i="29"/>
  <c r="I74" i="29"/>
  <c r="I75" i="29"/>
  <c r="I78" i="29"/>
  <c r="I77" i="29"/>
  <c r="I76" i="29"/>
  <c r="I79" i="29"/>
  <c r="J63" i="29"/>
  <c r="Q63" i="29"/>
  <c r="R63" i="29" s="1"/>
  <c r="J64" i="29"/>
  <c r="Q64" i="29"/>
  <c r="R64" i="29" s="1"/>
  <c r="J65" i="29"/>
  <c r="Q65" i="29"/>
  <c r="R65" i="29" s="1"/>
  <c r="J62" i="29"/>
  <c r="Q62" i="29"/>
  <c r="R62" i="29" s="1"/>
  <c r="J61" i="29"/>
  <c r="Q61" i="29"/>
  <c r="R61" i="29" s="1"/>
  <c r="J68" i="29"/>
  <c r="Q68" i="29"/>
  <c r="R68" i="29" s="1"/>
  <c r="J67" i="29"/>
  <c r="Q67" i="29"/>
  <c r="R67" i="29" s="1"/>
  <c r="H92" i="26"/>
  <c r="G129" i="26"/>
  <c r="H85" i="26"/>
  <c r="G122" i="26"/>
  <c r="Q72" i="26"/>
  <c r="R72" i="26" s="1"/>
  <c r="L126" i="25"/>
  <c r="M125" i="25"/>
  <c r="M127" i="25"/>
  <c r="M123" i="25"/>
  <c r="J123" i="25" s="1"/>
  <c r="L125" i="25"/>
  <c r="R67" i="25"/>
  <c r="J103" i="25" s="1"/>
  <c r="J79" i="25"/>
  <c r="J86" i="25"/>
  <c r="J92" i="25"/>
  <c r="J62" i="25"/>
  <c r="J89" i="25"/>
  <c r="J85" i="25"/>
  <c r="J73" i="25"/>
  <c r="J76" i="25"/>
  <c r="J72" i="25"/>
  <c r="J77" i="25"/>
  <c r="J61" i="25"/>
  <c r="J90" i="25"/>
  <c r="F87" i="25"/>
  <c r="I87" i="25" s="1"/>
  <c r="Q87" i="25" s="1"/>
  <c r="R87" i="25" s="1"/>
  <c r="I74" i="25"/>
  <c r="Q74" i="25" s="1"/>
  <c r="R74" i="25" s="1"/>
  <c r="F88" i="25"/>
  <c r="I88" i="25" s="1"/>
  <c r="Q88" i="25" s="1"/>
  <c r="R88" i="25" s="1"/>
  <c r="I75" i="25"/>
  <c r="Q75" i="25" s="1"/>
  <c r="R75" i="25" s="1"/>
  <c r="U108" i="35" l="1"/>
  <c r="E159" i="12" s="1"/>
  <c r="E171" i="12" s="1"/>
  <c r="T123" i="25"/>
  <c r="I88" i="26"/>
  <c r="J88" i="26" s="1"/>
  <c r="H122" i="26"/>
  <c r="I122" i="26" s="1"/>
  <c r="I86" i="26"/>
  <c r="J86" i="26" s="1"/>
  <c r="Q73" i="26"/>
  <c r="R73" i="26" s="1"/>
  <c r="H129" i="26"/>
  <c r="I129" i="26" s="1"/>
  <c r="H125" i="26"/>
  <c r="I125" i="26" s="1"/>
  <c r="Q75" i="26"/>
  <c r="R75" i="26" s="1"/>
  <c r="H128" i="26"/>
  <c r="I128" i="26" s="1"/>
  <c r="Q91" i="26"/>
  <c r="R91" i="26" s="1"/>
  <c r="I89" i="26"/>
  <c r="J89" i="26" s="1"/>
  <c r="I87" i="26"/>
  <c r="J87" i="26" s="1"/>
  <c r="H127" i="26"/>
  <c r="I127" i="26" s="1"/>
  <c r="H123" i="26"/>
  <c r="I123" i="26" s="1"/>
  <c r="I92" i="26"/>
  <c r="J92" i="26" s="1"/>
  <c r="I90" i="26"/>
  <c r="J90" i="26" s="1"/>
  <c r="M146" i="26"/>
  <c r="J146" i="26" s="1"/>
  <c r="H126" i="26"/>
  <c r="I126" i="26" s="1"/>
  <c r="M148" i="26"/>
  <c r="J148" i="26" s="1"/>
  <c r="I85" i="26"/>
  <c r="J85" i="26" s="1"/>
  <c r="H124" i="26"/>
  <c r="I124" i="26" s="1"/>
  <c r="R108" i="35"/>
  <c r="S108" i="35" s="1"/>
  <c r="Q74" i="26"/>
  <c r="R74" i="26" s="1"/>
  <c r="N110" i="35"/>
  <c r="N111" i="35"/>
  <c r="R67" i="26"/>
  <c r="J103" i="26" s="1"/>
  <c r="K151" i="26" s="1"/>
  <c r="M93" i="35"/>
  <c r="S102" i="35" s="1"/>
  <c r="M80" i="35"/>
  <c r="R102" i="35" s="1"/>
  <c r="Q76" i="26"/>
  <c r="R76" i="26" s="1"/>
  <c r="Q78" i="26"/>
  <c r="R78" i="26" s="1"/>
  <c r="Q79" i="26"/>
  <c r="R79" i="26" s="1"/>
  <c r="J78" i="29"/>
  <c r="Q78" i="29"/>
  <c r="R78" i="29" s="1"/>
  <c r="J75" i="29"/>
  <c r="Q75" i="29"/>
  <c r="R75" i="29" s="1"/>
  <c r="R69" i="29"/>
  <c r="J74" i="29"/>
  <c r="Q74" i="29"/>
  <c r="R74" i="29" s="1"/>
  <c r="Q80" i="29"/>
  <c r="R80" i="29" s="1"/>
  <c r="J80" i="29"/>
  <c r="J81" i="29"/>
  <c r="Q81" i="29"/>
  <c r="R81" i="29" s="1"/>
  <c r="J79" i="29"/>
  <c r="Q79" i="29"/>
  <c r="R79" i="29" s="1"/>
  <c r="I94" i="29"/>
  <c r="I93" i="29"/>
  <c r="I87" i="29"/>
  <c r="I88" i="29"/>
  <c r="I90" i="29"/>
  <c r="I91" i="29"/>
  <c r="I92" i="29"/>
  <c r="I89" i="29"/>
  <c r="J76" i="29"/>
  <c r="Q76" i="29"/>
  <c r="R76" i="29" s="1"/>
  <c r="Q77" i="29"/>
  <c r="R77" i="29" s="1"/>
  <c r="J77" i="29"/>
  <c r="Q88" i="26"/>
  <c r="R88" i="26" s="1"/>
  <c r="J125" i="25"/>
  <c r="K127" i="25"/>
  <c r="K128" i="25"/>
  <c r="R80" i="25"/>
  <c r="O103" i="25" s="1"/>
  <c r="R93" i="25"/>
  <c r="P103" i="25" s="1"/>
  <c r="J74" i="25"/>
  <c r="J87" i="25"/>
  <c r="J75" i="25"/>
  <c r="J88" i="25"/>
  <c r="C128" i="12"/>
  <c r="O125" i="25" l="1"/>
  <c r="P125" i="25" s="1"/>
  <c r="Q125" i="25" s="1"/>
  <c r="T125" i="25"/>
  <c r="E152" i="12" s="1"/>
  <c r="Q89" i="26"/>
  <c r="R89" i="26" s="1"/>
  <c r="Q85" i="26"/>
  <c r="R85" i="26" s="1"/>
  <c r="Q92" i="26"/>
  <c r="R92" i="26" s="1"/>
  <c r="Q86" i="26"/>
  <c r="R86" i="26" s="1"/>
  <c r="Q87" i="26"/>
  <c r="R87" i="26" s="1"/>
  <c r="K150" i="26"/>
  <c r="T108" i="35"/>
  <c r="Q90" i="26"/>
  <c r="R90" i="26" s="1"/>
  <c r="O148" i="26"/>
  <c r="P148" i="26" s="1"/>
  <c r="Q148" i="26" s="1"/>
  <c r="X148" i="26" s="1"/>
  <c r="E154" i="12" s="1"/>
  <c r="E166" i="12" s="1"/>
  <c r="R80" i="26"/>
  <c r="O103" i="26" s="1"/>
  <c r="M147" i="26" s="1"/>
  <c r="P107" i="35"/>
  <c r="P109" i="35"/>
  <c r="O110" i="35"/>
  <c r="M110" i="35" s="1"/>
  <c r="U110" i="35" s="1"/>
  <c r="O111" i="35"/>
  <c r="M111" i="35" s="1"/>
  <c r="U111" i="35" s="1"/>
  <c r="Q107" i="35"/>
  <c r="Q109" i="35"/>
  <c r="R82" i="29"/>
  <c r="J87" i="29"/>
  <c r="Q87" i="29"/>
  <c r="R87" i="29" s="1"/>
  <c r="Q93" i="29"/>
  <c r="R93" i="29" s="1"/>
  <c r="J93" i="29"/>
  <c r="J94" i="29"/>
  <c r="Q94" i="29"/>
  <c r="R94" i="29" s="1"/>
  <c r="J89" i="29"/>
  <c r="Q89" i="29"/>
  <c r="R89" i="29" s="1"/>
  <c r="J92" i="29"/>
  <c r="Q92" i="29"/>
  <c r="R92" i="29" s="1"/>
  <c r="J91" i="29"/>
  <c r="Q91" i="29"/>
  <c r="R91" i="29" s="1"/>
  <c r="J90" i="29"/>
  <c r="Q90" i="29"/>
  <c r="R90" i="29" s="1"/>
  <c r="J88" i="29"/>
  <c r="Q88" i="29"/>
  <c r="R88" i="29" s="1"/>
  <c r="I130" i="26"/>
  <c r="T149" i="26" s="1"/>
  <c r="M126" i="25"/>
  <c r="M124" i="25"/>
  <c r="L127" i="25"/>
  <c r="J127" i="25" s="1"/>
  <c r="L128" i="25"/>
  <c r="J128" i="25" s="1"/>
  <c r="N126" i="25"/>
  <c r="N124" i="25"/>
  <c r="D127" i="12"/>
  <c r="S15" i="29" s="1"/>
  <c r="D126" i="12"/>
  <c r="S14" i="29" s="1"/>
  <c r="D125" i="12"/>
  <c r="S13" i="29" s="1"/>
  <c r="S26" i="29" s="1"/>
  <c r="D124" i="12"/>
  <c r="S12" i="29" s="1"/>
  <c r="D123" i="12"/>
  <c r="S11" i="29" s="1"/>
  <c r="D122" i="12"/>
  <c r="S10" i="29" s="1"/>
  <c r="S23" i="29" s="1"/>
  <c r="D121" i="12"/>
  <c r="K23" i="19"/>
  <c r="K13" i="19"/>
  <c r="K3" i="19"/>
  <c r="C14" i="18"/>
  <c r="F9" i="18"/>
  <c r="G9" i="18" s="1"/>
  <c r="H9" i="18" s="1"/>
  <c r="E164" i="12" l="1"/>
  <c r="R110" i="35"/>
  <c r="S110" i="35" s="1"/>
  <c r="T110" i="35" s="1"/>
  <c r="G159" i="12"/>
  <c r="G171" i="12" s="1"/>
  <c r="O128" i="25"/>
  <c r="P128" i="25" s="1"/>
  <c r="Q128" i="25" s="1"/>
  <c r="T128" i="25"/>
  <c r="H152" i="12" s="1"/>
  <c r="O127" i="25"/>
  <c r="P127" i="25" s="1"/>
  <c r="Q127" i="25" s="1"/>
  <c r="T127" i="25"/>
  <c r="G152" i="12" s="1"/>
  <c r="R111" i="35"/>
  <c r="S111" i="35" s="1"/>
  <c r="T111" i="35" s="1"/>
  <c r="H159" i="12"/>
  <c r="H171" i="12" s="1"/>
  <c r="R93" i="26"/>
  <c r="P103" i="26" s="1"/>
  <c r="L151" i="26" s="1"/>
  <c r="J151" i="26" s="1"/>
  <c r="E143" i="12"/>
  <c r="M107" i="35"/>
  <c r="U107" i="35" s="1"/>
  <c r="L150" i="26"/>
  <c r="J150" i="26" s="1"/>
  <c r="M149" i="26"/>
  <c r="M109" i="35"/>
  <c r="U109" i="35" s="1"/>
  <c r="R95" i="29"/>
  <c r="S27" i="29"/>
  <c r="T14" i="29"/>
  <c r="S28" i="29"/>
  <c r="T15" i="29"/>
  <c r="S9" i="29"/>
  <c r="S22" i="29" s="1"/>
  <c r="S24" i="29"/>
  <c r="T11" i="29"/>
  <c r="S25" i="29"/>
  <c r="T12" i="29"/>
  <c r="T13" i="29"/>
  <c r="T148" i="26"/>
  <c r="T151" i="26"/>
  <c r="T147" i="26"/>
  <c r="T150" i="26"/>
  <c r="R125" i="25"/>
  <c r="J126" i="25"/>
  <c r="J124" i="25"/>
  <c r="F22" i="18"/>
  <c r="G22" i="18" s="1"/>
  <c r="H22" i="18" s="1"/>
  <c r="K12" i="18"/>
  <c r="J12" i="18"/>
  <c r="I12" i="18"/>
  <c r="K11" i="18"/>
  <c r="J11" i="18"/>
  <c r="I11" i="18"/>
  <c r="K10" i="18"/>
  <c r="J10" i="18"/>
  <c r="I10" i="18"/>
  <c r="K9" i="18"/>
  <c r="J9" i="18"/>
  <c r="I9" i="18"/>
  <c r="K15" i="18"/>
  <c r="I15" i="18"/>
  <c r="J15" i="18"/>
  <c r="K14" i="18"/>
  <c r="J14" i="18"/>
  <c r="I14" i="18"/>
  <c r="K13" i="18"/>
  <c r="J13" i="18"/>
  <c r="I13" i="18"/>
  <c r="D128" i="12"/>
  <c r="S16" i="29" s="1"/>
  <c r="S29" i="29" s="1"/>
  <c r="D194" i="12"/>
  <c r="G164" i="12" l="1"/>
  <c r="H164" i="12"/>
  <c r="N149" i="26"/>
  <c r="J149" i="26" s="1"/>
  <c r="O150" i="26"/>
  <c r="P150" i="26" s="1"/>
  <c r="Q150" i="26" s="1"/>
  <c r="O124" i="25"/>
  <c r="P124" i="25" s="1"/>
  <c r="Q124" i="25" s="1"/>
  <c r="T124" i="25"/>
  <c r="D152" i="12" s="1"/>
  <c r="R107" i="35"/>
  <c r="S107" i="35" s="1"/>
  <c r="T107" i="35" s="1"/>
  <c r="D159" i="12"/>
  <c r="D171" i="12" s="1"/>
  <c r="O126" i="25"/>
  <c r="P126" i="25" s="1"/>
  <c r="Q126" i="25" s="1"/>
  <c r="T126" i="25"/>
  <c r="F152" i="12" s="1"/>
  <c r="R109" i="35"/>
  <c r="S109" i="35" s="1"/>
  <c r="T109" i="35" s="1"/>
  <c r="F159" i="12"/>
  <c r="F171" i="12" s="1"/>
  <c r="O151" i="26"/>
  <c r="P151" i="26" s="1"/>
  <c r="Q151" i="26" s="1"/>
  <c r="T16" i="29"/>
  <c r="N147" i="26"/>
  <c r="J147" i="26" s="1"/>
  <c r="H143" i="12"/>
  <c r="G143" i="12"/>
  <c r="S125" i="25"/>
  <c r="T9" i="29"/>
  <c r="T10" i="29"/>
  <c r="S39" i="29"/>
  <c r="T26" i="29"/>
  <c r="T29" i="29"/>
  <c r="S42" i="29"/>
  <c r="S38" i="29"/>
  <c r="T25" i="29"/>
  <c r="T28" i="29"/>
  <c r="S41" i="29"/>
  <c r="S37" i="29"/>
  <c r="T24" i="29"/>
  <c r="S40" i="29"/>
  <c r="T27" i="29"/>
  <c r="R148" i="26"/>
  <c r="S148" i="26" s="1"/>
  <c r="U148" i="26" s="1"/>
  <c r="V148" i="26" s="1"/>
  <c r="R127" i="25"/>
  <c r="R128" i="25"/>
  <c r="F35" i="18"/>
  <c r="Q22" i="18"/>
  <c r="L14" i="18"/>
  <c r="L9" i="18"/>
  <c r="L15" i="18"/>
  <c r="L13" i="18"/>
  <c r="L11" i="18"/>
  <c r="L12" i="18"/>
  <c r="L10" i="18"/>
  <c r="C217" i="12"/>
  <c r="B217" i="12"/>
  <c r="C206" i="12"/>
  <c r="B206" i="12"/>
  <c r="E203" i="12"/>
  <c r="F209" i="12" s="1"/>
  <c r="D164" i="12" l="1"/>
  <c r="F164" i="12"/>
  <c r="R151" i="26"/>
  <c r="S151" i="26" s="1"/>
  <c r="U151" i="26" s="1"/>
  <c r="V151" i="26" s="1"/>
  <c r="W151" i="26" s="1"/>
  <c r="X151" i="26"/>
  <c r="H154" i="12" s="1"/>
  <c r="H166" i="12" s="1"/>
  <c r="R150" i="26"/>
  <c r="S150" i="26" s="1"/>
  <c r="U150" i="26" s="1"/>
  <c r="V150" i="26" s="1"/>
  <c r="W150" i="26" s="1"/>
  <c r="X150" i="26"/>
  <c r="G154" i="12" s="1"/>
  <c r="G166" i="12" s="1"/>
  <c r="O147" i="26"/>
  <c r="P147" i="26" s="1"/>
  <c r="Q147" i="26" s="1"/>
  <c r="O149" i="26"/>
  <c r="P149" i="26" s="1"/>
  <c r="Q149" i="26" s="1"/>
  <c r="D143" i="12"/>
  <c r="F143" i="12"/>
  <c r="C92" i="12"/>
  <c r="C97" i="12"/>
  <c r="C94" i="12"/>
  <c r="C93" i="12"/>
  <c r="C96" i="12"/>
  <c r="C95" i="12"/>
  <c r="C98" i="12"/>
  <c r="E136" i="12"/>
  <c r="W148" i="26"/>
  <c r="S128" i="25"/>
  <c r="S127" i="25"/>
  <c r="T42" i="29"/>
  <c r="S55" i="29"/>
  <c r="S53" i="29"/>
  <c r="T40" i="29"/>
  <c r="S51" i="29"/>
  <c r="T38" i="29"/>
  <c r="S50" i="29"/>
  <c r="T37" i="29"/>
  <c r="S52" i="29"/>
  <c r="T39" i="29"/>
  <c r="T41" i="29"/>
  <c r="S54" i="29"/>
  <c r="S35" i="29"/>
  <c r="T22" i="29"/>
  <c r="T23" i="29"/>
  <c r="S36" i="29"/>
  <c r="T17" i="29"/>
  <c r="F105" i="29" s="1"/>
  <c r="R124" i="25"/>
  <c r="R126" i="25"/>
  <c r="F48" i="18"/>
  <c r="G35" i="18"/>
  <c r="H35" i="18" s="1"/>
  <c r="Q35" i="18" s="1"/>
  <c r="L16" i="18"/>
  <c r="E219" i="12"/>
  <c r="F230" i="12"/>
  <c r="R149" i="26" l="1"/>
  <c r="S149" i="26" s="1"/>
  <c r="U149" i="26" s="1"/>
  <c r="V149" i="26" s="1"/>
  <c r="W149" i="26" s="1"/>
  <c r="X149" i="26"/>
  <c r="F154" i="12" s="1"/>
  <c r="F166" i="12" s="1"/>
  <c r="R147" i="26"/>
  <c r="S147" i="26" s="1"/>
  <c r="U147" i="26" s="1"/>
  <c r="V147" i="26" s="1"/>
  <c r="W147" i="26" s="1"/>
  <c r="X147" i="26"/>
  <c r="D154" i="12" s="1"/>
  <c r="D166" i="12" s="1"/>
  <c r="C99" i="12"/>
  <c r="E138" i="12"/>
  <c r="G136" i="12"/>
  <c r="H136" i="12"/>
  <c r="G138" i="12"/>
  <c r="H138" i="12"/>
  <c r="S124" i="25"/>
  <c r="S126" i="25"/>
  <c r="S49" i="29"/>
  <c r="T36" i="29"/>
  <c r="K124" i="29"/>
  <c r="K127" i="29"/>
  <c r="K125" i="29"/>
  <c r="K126" i="29"/>
  <c r="S65" i="29"/>
  <c r="T52" i="29"/>
  <c r="S63" i="29"/>
  <c r="T50" i="29"/>
  <c r="T30" i="29"/>
  <c r="G105" i="29" s="1"/>
  <c r="S48" i="29"/>
  <c r="T35" i="29"/>
  <c r="S64" i="29"/>
  <c r="T51" i="29"/>
  <c r="T54" i="29"/>
  <c r="S67" i="29"/>
  <c r="S66" i="29"/>
  <c r="T53" i="29"/>
  <c r="S68" i="29"/>
  <c r="T55" i="29"/>
  <c r="G48" i="18"/>
  <c r="H48" i="18" s="1"/>
  <c r="Q48" i="18" s="1"/>
  <c r="F61" i="18"/>
  <c r="D184" i="12"/>
  <c r="D195" i="12" s="1"/>
  <c r="D206" i="12" s="1"/>
  <c r="B196" i="12"/>
  <c r="B194" i="12"/>
  <c r="F138" i="12" l="1"/>
  <c r="F136" i="12"/>
  <c r="D138" i="12"/>
  <c r="D136" i="12"/>
  <c r="T43" i="29"/>
  <c r="H105" i="29" s="1"/>
  <c r="L127" i="29" s="1"/>
  <c r="T49" i="29"/>
  <c r="S62" i="29"/>
  <c r="T67" i="29"/>
  <c r="S80" i="29"/>
  <c r="S76" i="29"/>
  <c r="T63" i="29"/>
  <c r="S78" i="29"/>
  <c r="T65" i="29"/>
  <c r="S77" i="29"/>
  <c r="T64" i="29"/>
  <c r="T68" i="29"/>
  <c r="S81" i="29"/>
  <c r="T48" i="29"/>
  <c r="S61" i="29"/>
  <c r="L124" i="29"/>
  <c r="L125" i="29"/>
  <c r="S79" i="29"/>
  <c r="T66" i="29"/>
  <c r="G61" i="18"/>
  <c r="H61" i="18" s="1"/>
  <c r="Q61" i="18" s="1"/>
  <c r="F74" i="18"/>
  <c r="G74" i="18" s="1"/>
  <c r="F191" i="12"/>
  <c r="L126" i="29" l="1"/>
  <c r="T61" i="29"/>
  <c r="S74" i="29"/>
  <c r="T81" i="29"/>
  <c r="S94" i="29"/>
  <c r="T94" i="29" s="1"/>
  <c r="S93" i="29"/>
  <c r="T93" i="29" s="1"/>
  <c r="T80" i="29"/>
  <c r="S90" i="29"/>
  <c r="T90" i="29" s="1"/>
  <c r="T77" i="29"/>
  <c r="S91" i="29"/>
  <c r="T91" i="29" s="1"/>
  <c r="T78" i="29"/>
  <c r="T56" i="29"/>
  <c r="I105" i="29" s="1"/>
  <c r="S89" i="29"/>
  <c r="T89" i="29" s="1"/>
  <c r="T76" i="29"/>
  <c r="S92" i="29"/>
  <c r="T92" i="29" s="1"/>
  <c r="T79" i="29"/>
  <c r="S75" i="29"/>
  <c r="T62" i="29"/>
  <c r="H74" i="18"/>
  <c r="Q74" i="18" s="1"/>
  <c r="F87" i="18"/>
  <c r="F16" i="18"/>
  <c r="E16" i="18"/>
  <c r="E29" i="18" s="1"/>
  <c r="E42" i="18" s="1"/>
  <c r="E55" i="18" s="1"/>
  <c r="E68" i="18" s="1"/>
  <c r="E81" i="18" s="1"/>
  <c r="E94" i="18" s="1"/>
  <c r="F15" i="18"/>
  <c r="E15" i="18"/>
  <c r="E28" i="18" s="1"/>
  <c r="E41" i="18" s="1"/>
  <c r="E54" i="18" s="1"/>
  <c r="E67" i="18" s="1"/>
  <c r="E80" i="18" s="1"/>
  <c r="E93" i="18" s="1"/>
  <c r="F14" i="18"/>
  <c r="E14" i="18"/>
  <c r="E27" i="18" s="1"/>
  <c r="E40" i="18" s="1"/>
  <c r="E53" i="18" s="1"/>
  <c r="E66" i="18" s="1"/>
  <c r="E79" i="18" s="1"/>
  <c r="E92" i="18" s="1"/>
  <c r="F13" i="18"/>
  <c r="E13" i="18"/>
  <c r="E26" i="18" s="1"/>
  <c r="E39" i="18" s="1"/>
  <c r="E52" i="18" s="1"/>
  <c r="E65" i="18" s="1"/>
  <c r="E78" i="18" s="1"/>
  <c r="E91" i="18" s="1"/>
  <c r="F12" i="18"/>
  <c r="E12" i="18"/>
  <c r="E25" i="18" s="1"/>
  <c r="E38" i="18" s="1"/>
  <c r="E51" i="18" s="1"/>
  <c r="E64" i="18" s="1"/>
  <c r="E77" i="18" s="1"/>
  <c r="E90" i="18" s="1"/>
  <c r="F11" i="18"/>
  <c r="E11" i="18"/>
  <c r="E24" i="18" s="1"/>
  <c r="E37" i="18" s="1"/>
  <c r="E50" i="18" s="1"/>
  <c r="E63" i="18" s="1"/>
  <c r="E76" i="18" s="1"/>
  <c r="E89" i="18" s="1"/>
  <c r="F10" i="18"/>
  <c r="E10" i="18"/>
  <c r="E23" i="18" s="1"/>
  <c r="E36" i="18" s="1"/>
  <c r="E49" i="18" s="1"/>
  <c r="E62" i="18" s="1"/>
  <c r="E75" i="18" s="1"/>
  <c r="E88" i="18" s="1"/>
  <c r="E9" i="18"/>
  <c r="E22" i="18" s="1"/>
  <c r="E35" i="18" s="1"/>
  <c r="E48" i="18" s="1"/>
  <c r="E61" i="18" s="1"/>
  <c r="E74" i="18" s="1"/>
  <c r="E87" i="18" s="1"/>
  <c r="T75" i="29" l="1"/>
  <c r="S88" i="29"/>
  <c r="T88" i="29" s="1"/>
  <c r="M124" i="29"/>
  <c r="J124" i="29" s="1"/>
  <c r="M126" i="29"/>
  <c r="J126" i="29" s="1"/>
  <c r="M128" i="29"/>
  <c r="S87" i="29"/>
  <c r="T87" i="29" s="1"/>
  <c r="T74" i="29"/>
  <c r="T69" i="29"/>
  <c r="J105" i="29" s="1"/>
  <c r="G87" i="18"/>
  <c r="H87" i="18" s="1"/>
  <c r="Q87" i="18" s="1"/>
  <c r="F28" i="18"/>
  <c r="G28" i="18" s="1"/>
  <c r="H28" i="18" s="1"/>
  <c r="Q28" i="18" s="1"/>
  <c r="G15" i="18"/>
  <c r="H15" i="18" s="1"/>
  <c r="F25" i="18"/>
  <c r="G25" i="18" s="1"/>
  <c r="H25" i="18" s="1"/>
  <c r="Q25" i="18" s="1"/>
  <c r="G12" i="18"/>
  <c r="H12" i="18" s="1"/>
  <c r="F29" i="18"/>
  <c r="G29" i="18" s="1"/>
  <c r="H29" i="18" s="1"/>
  <c r="Q29" i="18" s="1"/>
  <c r="G16" i="18"/>
  <c r="H16" i="18" s="1"/>
  <c r="F26" i="18"/>
  <c r="G26" i="18" s="1"/>
  <c r="H26" i="18" s="1"/>
  <c r="Q26" i="18" s="1"/>
  <c r="G13" i="18"/>
  <c r="H13" i="18" s="1"/>
  <c r="F24" i="18"/>
  <c r="G24" i="18" s="1"/>
  <c r="H24" i="18" s="1"/>
  <c r="Q24" i="18" s="1"/>
  <c r="G11" i="18"/>
  <c r="H11" i="18" s="1"/>
  <c r="F23" i="18"/>
  <c r="G23" i="18" s="1"/>
  <c r="H23" i="18" s="1"/>
  <c r="Q23" i="18" s="1"/>
  <c r="G10" i="18"/>
  <c r="H10" i="18" s="1"/>
  <c r="F27" i="18"/>
  <c r="G27" i="18" s="1"/>
  <c r="H27" i="18" s="1"/>
  <c r="Q27" i="18" s="1"/>
  <c r="G14" i="18"/>
  <c r="H14" i="18" s="1"/>
  <c r="R124" i="29" l="1"/>
  <c r="T82" i="29"/>
  <c r="O105" i="29" s="1"/>
  <c r="L128" i="29" s="1"/>
  <c r="T95" i="29"/>
  <c r="P105" i="29" s="1"/>
  <c r="N127" i="29" s="1"/>
  <c r="K128" i="29"/>
  <c r="K129" i="29"/>
  <c r="F36" i="18"/>
  <c r="G36" i="18" s="1"/>
  <c r="H36" i="18" s="1"/>
  <c r="Q36" i="18" s="1"/>
  <c r="F38" i="18"/>
  <c r="F51" i="18" s="1"/>
  <c r="F37" i="18"/>
  <c r="G37" i="18" s="1"/>
  <c r="H37" i="18" s="1"/>
  <c r="Q37" i="18" s="1"/>
  <c r="F39" i="18"/>
  <c r="G39" i="18" s="1"/>
  <c r="H39" i="18" s="1"/>
  <c r="Q39" i="18" s="1"/>
  <c r="F42" i="18"/>
  <c r="F41" i="18"/>
  <c r="F40" i="18"/>
  <c r="Q30" i="18"/>
  <c r="O126" i="29" l="1"/>
  <c r="P126" i="29" s="1"/>
  <c r="Q126" i="29" s="1"/>
  <c r="E139" i="12" s="1"/>
  <c r="R126" i="29"/>
  <c r="E155" i="12" s="1"/>
  <c r="E167" i="12" s="1"/>
  <c r="L129" i="29"/>
  <c r="J129" i="29" s="1"/>
  <c r="N125" i="29"/>
  <c r="M125" i="29"/>
  <c r="M127" i="29"/>
  <c r="J127" i="29" s="1"/>
  <c r="J128" i="29"/>
  <c r="F49" i="18"/>
  <c r="F62" i="18" s="1"/>
  <c r="G38" i="18"/>
  <c r="H38" i="18" s="1"/>
  <c r="Q38" i="18" s="1"/>
  <c r="F52" i="18"/>
  <c r="G52" i="18" s="1"/>
  <c r="H52" i="18" s="1"/>
  <c r="Q52" i="18" s="1"/>
  <c r="F50" i="18"/>
  <c r="F63" i="18" s="1"/>
  <c r="F53" i="18"/>
  <c r="G40" i="18"/>
  <c r="H40" i="18" s="1"/>
  <c r="Q40" i="18" s="1"/>
  <c r="G51" i="18"/>
  <c r="H51" i="18" s="1"/>
  <c r="Q51" i="18" s="1"/>
  <c r="F64" i="18"/>
  <c r="G41" i="18"/>
  <c r="H41" i="18" s="1"/>
  <c r="Q41" i="18" s="1"/>
  <c r="F54" i="18"/>
  <c r="F55" i="18"/>
  <c r="G42" i="18"/>
  <c r="H42" i="18" s="1"/>
  <c r="Q42" i="18" s="1"/>
  <c r="O128" i="29" l="1"/>
  <c r="P128" i="29" s="1"/>
  <c r="Q128" i="29" s="1"/>
  <c r="R128" i="29"/>
  <c r="G155" i="12" s="1"/>
  <c r="G167" i="12" s="1"/>
  <c r="O127" i="29"/>
  <c r="P127" i="29" s="1"/>
  <c r="Q127" i="29" s="1"/>
  <c r="R127" i="29"/>
  <c r="F155" i="12" s="1"/>
  <c r="F167" i="12" s="1"/>
  <c r="O129" i="29"/>
  <c r="P129" i="29" s="1"/>
  <c r="Q129" i="29" s="1"/>
  <c r="H139" i="12" s="1"/>
  <c r="R129" i="29"/>
  <c r="H155" i="12" s="1"/>
  <c r="H167" i="12" s="1"/>
  <c r="J125" i="29"/>
  <c r="O125" i="29" s="1"/>
  <c r="G49" i="18"/>
  <c r="H49" i="18" s="1"/>
  <c r="Q49" i="18" s="1"/>
  <c r="F65" i="18"/>
  <c r="F78" i="18" s="1"/>
  <c r="G78" i="18" s="1"/>
  <c r="G50" i="18"/>
  <c r="H50" i="18" s="1"/>
  <c r="Q50" i="18" s="1"/>
  <c r="Q43" i="18"/>
  <c r="G64" i="18"/>
  <c r="H64" i="18" s="1"/>
  <c r="Q64" i="18" s="1"/>
  <c r="F77" i="18"/>
  <c r="G77" i="18" s="1"/>
  <c r="G55" i="18"/>
  <c r="H55" i="18" s="1"/>
  <c r="Q55" i="18" s="1"/>
  <c r="F68" i="18"/>
  <c r="G62" i="18"/>
  <c r="H62" i="18" s="1"/>
  <c r="Q62" i="18" s="1"/>
  <c r="F75" i="18"/>
  <c r="G75" i="18" s="1"/>
  <c r="G54" i="18"/>
  <c r="H54" i="18" s="1"/>
  <c r="Q54" i="18" s="1"/>
  <c r="F67" i="18"/>
  <c r="G53" i="18"/>
  <c r="H53" i="18" s="1"/>
  <c r="Q53" i="18" s="1"/>
  <c r="F66" i="18"/>
  <c r="F76" i="18"/>
  <c r="G76" i="18" s="1"/>
  <c r="G63" i="18"/>
  <c r="H63" i="18" s="1"/>
  <c r="Q63" i="18" s="1"/>
  <c r="P125" i="29" l="1"/>
  <c r="Q125" i="29" s="1"/>
  <c r="R125" i="29"/>
  <c r="D155" i="12" s="1"/>
  <c r="D167" i="12" s="1"/>
  <c r="F139" i="12"/>
  <c r="G139" i="12"/>
  <c r="G65" i="18"/>
  <c r="H65" i="18" s="1"/>
  <c r="Q65" i="18" s="1"/>
  <c r="N103" i="18"/>
  <c r="F88" i="18"/>
  <c r="H75" i="18"/>
  <c r="Q75" i="18" s="1"/>
  <c r="F89" i="18"/>
  <c r="H76" i="18"/>
  <c r="Q76" i="18" s="1"/>
  <c r="F91" i="18"/>
  <c r="H78" i="18"/>
  <c r="Q78" i="18" s="1"/>
  <c r="Q56" i="18"/>
  <c r="N104" i="18" s="1"/>
  <c r="G66" i="18"/>
  <c r="H66" i="18" s="1"/>
  <c r="Q66" i="18" s="1"/>
  <c r="F79" i="18"/>
  <c r="G79" i="18" s="1"/>
  <c r="G67" i="18"/>
  <c r="H67" i="18" s="1"/>
  <c r="Q67" i="18" s="1"/>
  <c r="F80" i="18"/>
  <c r="G80" i="18" s="1"/>
  <c r="F90" i="18"/>
  <c r="H77" i="18"/>
  <c r="Q77" i="18" s="1"/>
  <c r="F81" i="18"/>
  <c r="G81" i="18" s="1"/>
  <c r="G68" i="18"/>
  <c r="H68" i="18" s="1"/>
  <c r="Q68" i="18" s="1"/>
  <c r="O106" i="18" l="1"/>
  <c r="P105" i="18"/>
  <c r="P106" i="18"/>
  <c r="P101" i="18"/>
  <c r="P103" i="18"/>
  <c r="N102" i="18"/>
  <c r="N101" i="18"/>
  <c r="D139" i="12"/>
  <c r="G90" i="18"/>
  <c r="H90" i="18" s="1"/>
  <c r="Q90" i="18" s="1"/>
  <c r="G91" i="18"/>
  <c r="H91" i="18" s="1"/>
  <c r="Q91" i="18" s="1"/>
  <c r="G89" i="18"/>
  <c r="H89" i="18" s="1"/>
  <c r="Q89" i="18" s="1"/>
  <c r="G88" i="18"/>
  <c r="H88" i="18" s="1"/>
  <c r="Q88" i="18" s="1"/>
  <c r="O105" i="18"/>
  <c r="O101" i="18"/>
  <c r="O103" i="18"/>
  <c r="Q69" i="18"/>
  <c r="F94" i="18"/>
  <c r="H81" i="18"/>
  <c r="Q81" i="18" s="1"/>
  <c r="H80" i="18"/>
  <c r="Q80" i="18" s="1"/>
  <c r="F93" i="18"/>
  <c r="F92" i="18"/>
  <c r="H79" i="18"/>
  <c r="Q79" i="18" s="1"/>
  <c r="G92" i="18" l="1"/>
  <c r="H92" i="18" s="1"/>
  <c r="Q92" i="18" s="1"/>
  <c r="G94" i="18"/>
  <c r="H94" i="18" s="1"/>
  <c r="Q94" i="18" s="1"/>
  <c r="G93" i="18"/>
  <c r="H93" i="18" s="1"/>
  <c r="Q93" i="18" s="1"/>
  <c r="M105" i="18"/>
  <c r="M106" i="18"/>
  <c r="Q82" i="18"/>
  <c r="Q95" i="18" l="1"/>
  <c r="P104" i="18" s="1"/>
  <c r="N105" i="18"/>
  <c r="R105" i="18" s="1"/>
  <c r="O104" i="18"/>
  <c r="O102" i="18"/>
  <c r="Q9" i="18"/>
  <c r="Q15" i="18"/>
  <c r="Q11" i="18"/>
  <c r="Q16" i="18"/>
  <c r="Q13" i="18"/>
  <c r="Q10" i="18"/>
  <c r="Q14" i="18"/>
  <c r="Q12" i="18"/>
  <c r="N106" i="18" l="1"/>
  <c r="R106" i="18" s="1"/>
  <c r="P102" i="18"/>
  <c r="Q17" i="18"/>
  <c r="M104" i="18" l="1"/>
  <c r="R104" i="18" s="1"/>
  <c r="M101" i="18"/>
  <c r="R101" i="18" s="1"/>
  <c r="M103" i="18"/>
  <c r="R103" i="18" s="1"/>
  <c r="M102" i="18"/>
  <c r="R102" i="18" s="1"/>
  <c r="V102" i="18" l="1"/>
  <c r="D153" i="12" s="1"/>
  <c r="V103" i="18"/>
  <c r="E153" i="12" s="1"/>
  <c r="V101" i="18"/>
  <c r="V105" i="18"/>
  <c r="G153" i="12" s="1"/>
  <c r="V104" i="18"/>
  <c r="F153" i="12" s="1"/>
  <c r="V106" i="18"/>
  <c r="H153" i="12" s="1"/>
  <c r="S102" i="18"/>
  <c r="S103" i="18"/>
  <c r="T103" i="18" s="1"/>
  <c r="S105" i="18"/>
  <c r="S106" i="18"/>
  <c r="S104" i="18"/>
  <c r="T104" i="18" s="1"/>
  <c r="H165" i="12" l="1"/>
  <c r="D165" i="12"/>
  <c r="G165" i="12"/>
  <c r="F165" i="12"/>
  <c r="E165" i="12"/>
  <c r="U104" i="18"/>
  <c r="U103" i="18"/>
  <c r="T102" i="18"/>
  <c r="T106" i="18"/>
  <c r="T105" i="18"/>
  <c r="F137" i="12" l="1"/>
  <c r="F144" i="12" s="1"/>
  <c r="E137" i="12"/>
  <c r="E144" i="12" s="1"/>
  <c r="U102" i="18"/>
  <c r="U105" i="18"/>
  <c r="U106" i="18"/>
  <c r="G137" i="12" l="1"/>
  <c r="G144" i="12" s="1"/>
  <c r="H137" i="12"/>
  <c r="H144" i="12" s="1"/>
  <c r="D137" i="12"/>
  <c r="D144" i="12" s="1"/>
  <c r="E147" i="12" l="1"/>
  <c r="C177" i="12"/>
  <c r="D196" i="12" s="1"/>
  <c r="D197" i="12" s="1"/>
  <c r="D217" i="12" s="1"/>
  <c r="D220" i="12" s="1"/>
  <c r="D221" i="12" s="1"/>
  <c r="D199" i="12" l="1"/>
  <c r="D229" i="12" s="1"/>
  <c r="D209" i="12"/>
  <c r="D210" i="12" s="1"/>
  <c r="D211" i="12" s="1"/>
  <c r="D212" i="12" s="1"/>
  <c r="D213" i="12" s="1"/>
  <c r="D186" i="12"/>
  <c r="D230" i="12"/>
  <c r="P64" i="36" s="1"/>
  <c r="P65" i="36" s="1"/>
  <c r="D222" i="12"/>
  <c r="D223" i="12" s="1"/>
  <c r="D227" i="12" l="1"/>
</calcChain>
</file>

<file path=xl/sharedStrings.xml><?xml version="1.0" encoding="utf-8"?>
<sst xmlns="http://schemas.openxmlformats.org/spreadsheetml/2006/main" count="2671" uniqueCount="547">
  <si>
    <t>Modelo I</t>
  </si>
  <si>
    <t>Vehiculo</t>
  </si>
  <si>
    <t>TDPA</t>
  </si>
  <si>
    <t>No. De vehiculos</t>
  </si>
  <si>
    <t>Velocidad promedio</t>
  </si>
  <si>
    <t>Distribución de vehiculos</t>
  </si>
  <si>
    <t>(%)</t>
  </si>
  <si>
    <t>(veh)</t>
  </si>
  <si>
    <t>(Km/h)</t>
  </si>
  <si>
    <t>(s)</t>
  </si>
  <si>
    <t>Tiempo en cruzar por vehiculo</t>
  </si>
  <si>
    <t>(s/veh)</t>
  </si>
  <si>
    <t>Tiempo total acumulado</t>
  </si>
  <si>
    <t>Resumen:</t>
  </si>
  <si>
    <t>($/día)</t>
  </si>
  <si>
    <t>($/hr)</t>
  </si>
  <si>
    <t>($)</t>
  </si>
  <si>
    <t>Total</t>
  </si>
  <si>
    <t>días</t>
  </si>
  <si>
    <t>Variable</t>
  </si>
  <si>
    <t>Nv1</t>
  </si>
  <si>
    <t>Vp1</t>
  </si>
  <si>
    <t>T1</t>
  </si>
  <si>
    <t>T2</t>
  </si>
  <si>
    <t>Pv1</t>
  </si>
  <si>
    <t>Tm</t>
  </si>
  <si>
    <t>Pp</t>
  </si>
  <si>
    <t xml:space="preserve">Cálculo del costo indirecto generado por el aumento en el consumo de combustible al quedar impedido el paso a traves del puente vehicular </t>
  </si>
  <si>
    <t>C</t>
  </si>
  <si>
    <t>C2</t>
  </si>
  <si>
    <t>($/L)</t>
  </si>
  <si>
    <t>Cc</t>
  </si>
  <si>
    <t>Cd</t>
  </si>
  <si>
    <t>Modelo II</t>
  </si>
  <si>
    <t>Modelo III</t>
  </si>
  <si>
    <t>Costo indirecto ocasionado por los accidentes derivados de las tareas de mantenimiento pertinentes</t>
  </si>
  <si>
    <t>D1</t>
  </si>
  <si>
    <t>Modelo V</t>
  </si>
  <si>
    <t>Ip</t>
  </si>
  <si>
    <t>J</t>
  </si>
  <si>
    <t>Jp</t>
  </si>
  <si>
    <t>Np</t>
  </si>
  <si>
    <t>T</t>
  </si>
  <si>
    <t>CIPd</t>
  </si>
  <si>
    <t>Emisiones promedio de CO2</t>
  </si>
  <si>
    <t>(g/km)</t>
  </si>
  <si>
    <t>($/ton)</t>
  </si>
  <si>
    <t>CL</t>
  </si>
  <si>
    <t>Costo de mercado por dejar de producir / limpiar una tonelada de CO2</t>
  </si>
  <si>
    <t>$/ton</t>
  </si>
  <si>
    <t>Ep1</t>
  </si>
  <si>
    <t>Costo total CO2</t>
  </si>
  <si>
    <t>Vehiculos</t>
  </si>
  <si>
    <t>Costo de mercado vigente para el combustible</t>
  </si>
  <si>
    <t>CI</t>
  </si>
  <si>
    <t>MODELO I</t>
  </si>
  <si>
    <t>MODELO II</t>
  </si>
  <si>
    <t>MODELO III</t>
  </si>
  <si>
    <t>MODELO IV</t>
  </si>
  <si>
    <t>MODELO V</t>
  </si>
  <si>
    <t>COSTO INDIRECTO</t>
  </si>
  <si>
    <t>SHP 2016</t>
  </si>
  <si>
    <t>$/hr</t>
  </si>
  <si>
    <t>(IMT, 2016)</t>
  </si>
  <si>
    <t>http://imt.mx/resumen-boletines.html?IdArticulo=422&amp;IdBoletin=158</t>
  </si>
  <si>
    <t>CIHH</t>
  </si>
  <si>
    <t>CD</t>
  </si>
  <si>
    <t>CI/CD</t>
  </si>
  <si>
    <t>http://www.sct.gob.mx/fileadmin/DireccionesGrales/DGST/Datos-Viales-2016/15_MEXICO.pdf</t>
  </si>
  <si>
    <t>A</t>
  </si>
  <si>
    <t xml:space="preserve"> B</t>
  </si>
  <si>
    <t>C3</t>
  </si>
  <si>
    <t>T3S2</t>
  </si>
  <si>
    <t xml:space="preserve"> T3S3</t>
  </si>
  <si>
    <t xml:space="preserve"> T3S2R4</t>
  </si>
  <si>
    <t xml:space="preserve"> OTROS</t>
  </si>
  <si>
    <t>*</t>
  </si>
  <si>
    <t>Tp</t>
  </si>
  <si>
    <t>Porcentaje tiempo excedente</t>
  </si>
  <si>
    <t>**</t>
  </si>
  <si>
    <t>***</t>
  </si>
  <si>
    <t>http://www.sct.gob.mx/fileadmin/DireccionesGrales/DGST/O-D-2013/ZONA-2/7.6.-_SAN_SEBASTIAN.pdf</t>
  </si>
  <si>
    <t>http://imt.mx/archivos/Publicaciones/PublicacionTecnica/pt339.pdf</t>
  </si>
  <si>
    <t>http://imt.mx/archivos/Publicaciones/DocumentoTecnico/dt66.pdf</t>
  </si>
  <si>
    <t>Saldos por tramo según el reglamento de pesos y dimensiones</t>
  </si>
  <si>
    <t>$/accidente</t>
  </si>
  <si>
    <t>Costo promedio por choque reportado en el tramo de interés</t>
  </si>
  <si>
    <t>Pf</t>
  </si>
  <si>
    <t>Obtenida a partir de simulaciones Ma vs Mr</t>
  </si>
  <si>
    <t>R = Pf * C =</t>
  </si>
  <si>
    <t>Dp</t>
  </si>
  <si>
    <t>hrs/semana</t>
  </si>
  <si>
    <t>Js</t>
  </si>
  <si>
    <t>horas laborables al día (Tomando en cuenta 5 días laborables a la semana)</t>
  </si>
  <si>
    <t>http://imt.mx/archivos/Boletines/Nota158.pdf</t>
  </si>
  <si>
    <t>Índice de Productividad</t>
  </si>
  <si>
    <t>Deficit de productividad</t>
  </si>
  <si>
    <t>Sm</t>
  </si>
  <si>
    <t>$/día</t>
  </si>
  <si>
    <t>Salario Mínimo vigente área geográfica única</t>
  </si>
  <si>
    <t>Smh</t>
  </si>
  <si>
    <t>hr</t>
  </si>
  <si>
    <t>Salario Mínimo vigente área geográfica única (por hora)</t>
  </si>
  <si>
    <t>Costo indirecto baja productividad</t>
  </si>
  <si>
    <t>(hrs)</t>
  </si>
  <si>
    <t>Horas no laboradas por mala productivdad</t>
  </si>
  <si>
    <t>($/persona)</t>
  </si>
  <si>
    <t>CIPp</t>
  </si>
  <si>
    <t>Costo indirecto baja productividad (por persona)</t>
  </si>
  <si>
    <t>Cálculo de factores necesarios para determinar el costo indirecto baja productividad laboral</t>
  </si>
  <si>
    <t>Tipo de terreno</t>
  </si>
  <si>
    <t>http://imt.mx/archivos/Publicaciones/PublicacionTecnica/pt471.pdf</t>
  </si>
  <si>
    <t>Personas promedio por vehiculo (incluyendo operador)</t>
  </si>
  <si>
    <t>A.2</t>
  </si>
  <si>
    <t>COSTOS</t>
  </si>
  <si>
    <t>DE</t>
  </si>
  <si>
    <t>OPERACIÓN-CAMIÓN</t>
  </si>
  <si>
    <t>ARTICULADO</t>
  </si>
  <si>
    <t>(T3-S2-R4)</t>
  </si>
  <si>
    <t>Valores</t>
  </si>
  <si>
    <t>calculados,</t>
  </si>
  <si>
    <t>en</t>
  </si>
  <si>
    <t>pesos</t>
  </si>
  <si>
    <t>por</t>
  </si>
  <si>
    <t>veh-km</t>
  </si>
  <si>
    <t>IIR</t>
  </si>
  <si>
    <t>Caso</t>
  </si>
  <si>
    <t>Plano</t>
  </si>
  <si>
    <t>Lomerío</t>
  </si>
  <si>
    <t>Montañoso</t>
  </si>
  <si>
    <t>(T3-S3)</t>
  </si>
  <si>
    <t>(T3-S2)</t>
  </si>
  <si>
    <t>TRES</t>
  </si>
  <si>
    <t>EJES</t>
  </si>
  <si>
    <t>DOS</t>
  </si>
  <si>
    <t>OPERACIÓN-AUTOBÚS</t>
  </si>
  <si>
    <t>FORÁNEO</t>
  </si>
  <si>
    <t>OPERACIÓN-VEHÍCULO</t>
  </si>
  <si>
    <t>LIGERO</t>
  </si>
  <si>
    <t>O</t>
  </si>
  <si>
    <t>UTILITARIO</t>
  </si>
  <si>
    <t>Tramo</t>
  </si>
  <si>
    <t>(km)</t>
  </si>
  <si>
    <t>Distancia recorrida acumulada</t>
  </si>
  <si>
    <t>Costo operacional</t>
  </si>
  <si>
    <t>($/km)</t>
  </si>
  <si>
    <t>CIOPd</t>
  </si>
  <si>
    <t>CIOP</t>
  </si>
  <si>
    <t>El tiempo del operador ya no se incluye pues ya está incluido en el costo operacional CIOP</t>
  </si>
  <si>
    <t xml:space="preserve">Es decir, una de cada </t>
  </si>
  <si>
    <t>simulaciones, muestra que Ma&gt;Mr</t>
  </si>
  <si>
    <t>PROB. DE FALLA</t>
  </si>
  <si>
    <t>COSTO DIRECTO</t>
  </si>
  <si>
    <t>M</t>
  </si>
  <si>
    <t>i</t>
  </si>
  <si>
    <t xml:space="preserve">M. INVERSION </t>
  </si>
  <si>
    <t>(Año 2014)</t>
  </si>
  <si>
    <t>Tasa interés</t>
  </si>
  <si>
    <t>Periodos</t>
  </si>
  <si>
    <t>Costo Directo</t>
  </si>
  <si>
    <t>n</t>
  </si>
  <si>
    <t>(Valor presente de la inversión directa)</t>
  </si>
  <si>
    <t>Horas laborables promedio a la semana (EdoMex)*</t>
  </si>
  <si>
    <t>Valor del tiempo por motivo de trabajo en 2016*</t>
  </si>
  <si>
    <t>Valor</t>
  </si>
  <si>
    <t>Unidad</t>
  </si>
  <si>
    <t>Descripcion</t>
  </si>
  <si>
    <t>incluye aumento en consumo de combustible, lubricantes, llantas, tiempo de operador, mano de obra de mantenimiento, refacciones, depreciación, interés, otros indirectos)</t>
  </si>
  <si>
    <t>Modelo</t>
  </si>
  <si>
    <t>Identificador</t>
  </si>
  <si>
    <t>Descripción</t>
  </si>
  <si>
    <t>CI = CIAHH + CIOB +CIP +CIMa + CIAx</t>
  </si>
  <si>
    <t xml:space="preserve">CI Generado por las horas hombre perdidas al quedar impedido el paso por el puente vehicular </t>
  </si>
  <si>
    <t xml:space="preserve">CI operacional* </t>
  </si>
  <si>
    <t>CI Generado por la baja productividad de las personas afectadas por las labores de mantenimiento</t>
  </si>
  <si>
    <t>CI generado por afectaciones al medio ambiente</t>
  </si>
  <si>
    <t>CI ocasionado por los accidentes derivados de las tareas de mantenimiento pertinentes</t>
  </si>
  <si>
    <t>(índice nacional de precios al productor, industria de la construcción) (INEGI,2016)</t>
  </si>
  <si>
    <t>RESUMEN</t>
  </si>
  <si>
    <t xml:space="preserve">durante los </t>
  </si>
  <si>
    <t>días del mantenimiento</t>
  </si>
  <si>
    <t>CONSECUENCIAS</t>
  </si>
  <si>
    <t>Chr</t>
  </si>
  <si>
    <t xml:space="preserve">tiempo de mantenimiento del puente es de </t>
  </si>
  <si>
    <t>CM</t>
  </si>
  <si>
    <t>COSTO MANENIMIENTO</t>
  </si>
  <si>
    <t>Conclusión:</t>
  </si>
  <si>
    <t>*Relación entre el valor monetario estimado del riesgo y el costo de mantenimiento</t>
  </si>
  <si>
    <t>Costo de mantenimiento del puente vehicular</t>
  </si>
  <si>
    <t xml:space="preserve">Estariamos esperando un costo por hora de </t>
  </si>
  <si>
    <r>
      <t xml:space="preserve">La relación </t>
    </r>
    <r>
      <rPr>
        <b/>
        <sz val="9"/>
        <color theme="1"/>
        <rFont val="Calibri"/>
        <family val="2"/>
        <scheme val="minor"/>
      </rPr>
      <t>VMR/CM</t>
    </r>
    <r>
      <rPr>
        <sz val="11"/>
        <color theme="1"/>
        <rFont val="Calibri"/>
        <family val="2"/>
        <scheme val="minor"/>
      </rPr>
      <t xml:space="preserve"> es</t>
    </r>
  </si>
  <si>
    <t>En segundo lugar, las consecuencias indirectas ocasionadas por utilizar la ruta alterna:</t>
  </si>
  <si>
    <t>pérdidas por hora</t>
  </si>
  <si>
    <t>pérdidas por día</t>
  </si>
  <si>
    <t>CId</t>
  </si>
  <si>
    <t>CIhr</t>
  </si>
  <si>
    <t>Si amortizamos la reposición de la estructura durante los</t>
  </si>
  <si>
    <t>Finalmente la suma de estas dos pérdidas nos da la totalidad de consecuencias:</t>
  </si>
  <si>
    <t>días de mantenimiento, entonces tenemos:</t>
  </si>
  <si>
    <t>valor monetario esperado de las consecuencias por día</t>
  </si>
  <si>
    <t>valor monetario esperado de las consecuencias por hora</t>
  </si>
  <si>
    <t xml:space="preserve">pérdidas durante los </t>
  </si>
  <si>
    <t>(3 años para 2017)</t>
  </si>
  <si>
    <t>En primer lugar la reposición de la estructura, dado el peor escenario de colapso total:</t>
  </si>
  <si>
    <t>VMEr/CM*</t>
  </si>
  <si>
    <t>VMEr</t>
  </si>
  <si>
    <t>(valor Monetario Esperado del riesgo)</t>
  </si>
  <si>
    <t>Por otra parte, el costo estimado del mantenimiento necesario para dejar el puente en condiciones óptimas, según la inspección física es de:</t>
  </si>
  <si>
    <t xml:space="preserve">dias de mantenimiento, en caso de </t>
  </si>
  <si>
    <t>que ocurriera el peor escenario, es decir el colapso de la estructura en estudio.</t>
  </si>
  <si>
    <t>Aplicación:</t>
  </si>
  <si>
    <t>Escenario: se aplica el modelo a 10 puentes diferentes</t>
  </si>
  <si>
    <t xml:space="preserve">Para un tomador de decisiones, el metodo sirve para priorizar el mantenimiento de puentes dado que el recurso siempre es limitado y no es factible dar mantenimiento a las </t>
  </si>
  <si>
    <r>
      <t>10 estructuras. El recurso se emplearía comenzando por el puente que cuente con el mayor "</t>
    </r>
    <r>
      <rPr>
        <b/>
        <sz val="9"/>
        <color theme="1"/>
        <rFont val="Calibri"/>
        <family val="2"/>
        <scheme val="minor"/>
      </rPr>
      <t>VMEr/CM"</t>
    </r>
    <r>
      <rPr>
        <sz val="11"/>
        <color theme="1"/>
        <rFont val="Calibri"/>
        <family val="2"/>
        <scheme val="minor"/>
      </rPr>
      <t xml:space="preserve"> pues este factor indica que tanto supera el valor esperado del riesgo a</t>
    </r>
  </si>
  <si>
    <t>lo que estamos dispuestos a pagar por su mantenimiento.</t>
  </si>
  <si>
    <t>MODELO GENERAL DE CONSECUENCIAS</t>
  </si>
  <si>
    <t>CIAX</t>
  </si>
  <si>
    <t>TIPOS DE TERRENO</t>
  </si>
  <si>
    <t>Tipos de IIR</t>
  </si>
  <si>
    <t>Tiempo de mantenimiento / rehabilitación</t>
  </si>
  <si>
    <t>IIR=4 (imperfecciones frecuentes en la superficie)</t>
  </si>
  <si>
    <t>IIR=6 (Depresiones superficiales menores y poco frecuentes)</t>
  </si>
  <si>
    <t>IIR=2 (Pocas imperfecciones en la superficie)</t>
  </si>
  <si>
    <t>IIR=8 (Depresiones superficiales frecuentes)</t>
  </si>
  <si>
    <t>IIR=10 (Depresiones superficiales poco profundas)</t>
  </si>
  <si>
    <t>IIR=12 (Depresiones frecuentes y desprendimiento de agregado)</t>
  </si>
  <si>
    <t>TABLAS A1 A2</t>
  </si>
  <si>
    <t>Valores en pesos por veh-km 2016</t>
  </si>
  <si>
    <t>Valores calculados, en km/h (2016)</t>
  </si>
  <si>
    <t>VELOCIDAD DE OPERACIÓN</t>
  </si>
  <si>
    <t>(C3)</t>
  </si>
  <si>
    <t>(C2)</t>
  </si>
  <si>
    <t>(B)</t>
  </si>
  <si>
    <t>(A)</t>
  </si>
  <si>
    <t>COV</t>
  </si>
  <si>
    <t>Costo operacional por día</t>
  </si>
  <si>
    <t>Longitud (m)</t>
  </si>
  <si>
    <t>B</t>
  </si>
  <si>
    <t>D</t>
  </si>
  <si>
    <t>Ruta principal</t>
  </si>
  <si>
    <t>Ruta alterna 2</t>
  </si>
  <si>
    <t>Ruta alterna 1</t>
  </si>
  <si>
    <t>Ruta alterna 3</t>
  </si>
  <si>
    <t>Ruta alterna 4</t>
  </si>
  <si>
    <t>Ruta alterna 5</t>
  </si>
  <si>
    <t>Tramos disponibles</t>
  </si>
  <si>
    <t>N/A</t>
  </si>
  <si>
    <t>Atlacomulco - Acambay (57)</t>
  </si>
  <si>
    <t>Toluca - Atlacomulco (57)</t>
  </si>
  <si>
    <t>Acambay - Palmillas (57)</t>
  </si>
  <si>
    <t>Jilotepec - Palmillas (57D)</t>
  </si>
  <si>
    <t>Velocidad promedio f(TT,IIR) (km/hr)*</t>
  </si>
  <si>
    <t>COV promedio f(TT,IIR) ($/km)*</t>
  </si>
  <si>
    <t>Rendimiento carretero promedio del vehiculo (km/l) *</t>
  </si>
  <si>
    <t>Emisiones promedio de CO2 (g/km)**</t>
  </si>
  <si>
    <t>Personas promedio por vehiculo***</t>
  </si>
  <si>
    <t>Toluca - Jilotepec (57)</t>
  </si>
  <si>
    <t>T3</t>
  </si>
  <si>
    <t>T4</t>
  </si>
  <si>
    <t>COV1</t>
  </si>
  <si>
    <t>COV2</t>
  </si>
  <si>
    <t>COV3</t>
  </si>
  <si>
    <t>TDPARP (vpd)</t>
  </si>
  <si>
    <t>Longitud (km)</t>
  </si>
  <si>
    <t>CIOP1</t>
  </si>
  <si>
    <t>CIOP2</t>
  </si>
  <si>
    <t>CIOP3</t>
  </si>
  <si>
    <t>CIOP4</t>
  </si>
  <si>
    <t>CIOP5</t>
  </si>
  <si>
    <t>CIOP6</t>
  </si>
  <si>
    <t>CIOP7</t>
  </si>
  <si>
    <t>Longitud Total (Km)</t>
  </si>
  <si>
    <t>Resumen</t>
  </si>
  <si>
    <t>Longitud Total</t>
  </si>
  <si>
    <t>($/d)</t>
  </si>
  <si>
    <t>0*</t>
  </si>
  <si>
    <t>La ruta principal no genera consecuencias o costos indirectos</t>
  </si>
  <si>
    <t>($/h)</t>
  </si>
  <si>
    <t>CIOPh</t>
  </si>
  <si>
    <t>($/s)</t>
  </si>
  <si>
    <t>MODELO VI</t>
  </si>
  <si>
    <t>MODELO VII</t>
  </si>
  <si>
    <t>MODELO VIII</t>
  </si>
  <si>
    <t>CI generado por peaje</t>
  </si>
  <si>
    <t>CI generado por heridos</t>
  </si>
  <si>
    <t>CI generado por muertos</t>
  </si>
  <si>
    <t>Nodo</t>
  </si>
  <si>
    <t>(s/persona)</t>
  </si>
  <si>
    <t>Tiempo total acumulado por persona</t>
  </si>
  <si>
    <t>Personas promedio por vehiculo (sin operador)</t>
  </si>
  <si>
    <t>Npef</t>
  </si>
  <si>
    <t>T (s)</t>
  </si>
  <si>
    <t>Tv</t>
  </si>
  <si>
    <t>Resumen por tramo</t>
  </si>
  <si>
    <t>Resumen por ruta (Longitud)</t>
  </si>
  <si>
    <t>Resumen por ruta (Tiempo total acumulado)</t>
  </si>
  <si>
    <t>Tiempo total*</t>
  </si>
  <si>
    <t>Delta T</t>
  </si>
  <si>
    <t>(hr perdida/día)</t>
  </si>
  <si>
    <t>CIHHd</t>
  </si>
  <si>
    <t>CIHHh</t>
  </si>
  <si>
    <t>CIHHs</t>
  </si>
  <si>
    <t>0**</t>
  </si>
  <si>
    <t>Tiempo de recorrido promedio para un vehículo ligero</t>
  </si>
  <si>
    <t>CIOPs</t>
  </si>
  <si>
    <t>Tiempo promedio* (min)</t>
  </si>
  <si>
    <t>Cálculo del COV al quedar impedido el paso a traves de la ruta</t>
  </si>
  <si>
    <t>Tiempo total acumulado por los vehiculos</t>
  </si>
  <si>
    <t xml:space="preserve"> DeltaT</t>
  </si>
  <si>
    <t>(persona/veh)</t>
  </si>
  <si>
    <t>Resumen Numero de personas que serán afetadas (sólo las de la ruta principal)</t>
  </si>
  <si>
    <t>SI incluye la baja productividad del operador por eso se utiliza Np en lugar de Npef</t>
  </si>
  <si>
    <t>CIPhr</t>
  </si>
  <si>
    <t>CIPs</t>
  </si>
  <si>
    <t>Total de personas afectadas por bajo rendimiento por día*</t>
  </si>
  <si>
    <t>(personas/día)</t>
  </si>
  <si>
    <t>Total de personas afectadas por bajo rendimiento por día</t>
  </si>
  <si>
    <t>Cálculo del costo indirecto generado por la disminución de la productividad de las personas afectadas</t>
  </si>
  <si>
    <t>CIPRO</t>
  </si>
  <si>
    <t>CIMA</t>
  </si>
  <si>
    <t>CIHER</t>
  </si>
  <si>
    <t>CIMU</t>
  </si>
  <si>
    <t>CIPEA</t>
  </si>
  <si>
    <t>CIMAd</t>
  </si>
  <si>
    <t>CIMAh</t>
  </si>
  <si>
    <t>CIMAs</t>
  </si>
  <si>
    <t>Costo por tratar el excedente de CO2 por hora</t>
  </si>
  <si>
    <t>Costo por tratar el excedente de CO2 por segundo</t>
  </si>
  <si>
    <t>Costo por tratar el excedente de CO2 por día</t>
  </si>
  <si>
    <t>MEX-150D</t>
  </si>
  <si>
    <t>MEX-015</t>
  </si>
  <si>
    <t>MEX-115</t>
  </si>
  <si>
    <t>MEX-142</t>
  </si>
  <si>
    <t>MEX-087</t>
  </si>
  <si>
    <t>MEX-057D</t>
  </si>
  <si>
    <t>MEX-085D</t>
  </si>
  <si>
    <t>MEX-055</t>
  </si>
  <si>
    <t>Ruta</t>
  </si>
  <si>
    <t>Colisiones</t>
  </si>
  <si>
    <t>Daños materiales</t>
  </si>
  <si>
    <t>Saldos por tramo Estado de México*</t>
  </si>
  <si>
    <t>Anuario estadístico de accidentes en carreteras federales (2015)</t>
  </si>
  <si>
    <t>Promedio</t>
  </si>
  <si>
    <t>Daños materiales por año ($/año)</t>
  </si>
  <si>
    <t>Costo promedio por accidente</t>
  </si>
  <si>
    <t>($/año)</t>
  </si>
  <si>
    <t>(accidente/año)</t>
  </si>
  <si>
    <t>(Miles de Dolares/año)</t>
  </si>
  <si>
    <t>Clasificación</t>
  </si>
  <si>
    <t>Tránsito Diario Promedio Anual de la ruta carretera (un solo sentido)*</t>
  </si>
  <si>
    <t>Distribución del aforo vehicular de los tramos en condiciones normales de aforo*</t>
  </si>
  <si>
    <t>Ruta Principal</t>
  </si>
  <si>
    <t>Atlacomulco - Acambay (40D)</t>
  </si>
  <si>
    <t>Acambay - Jilotepec (40D)</t>
  </si>
  <si>
    <t>Toluca - Palmillas</t>
  </si>
  <si>
    <t>xtlahuaca de Rayón</t>
  </si>
  <si>
    <t>Carretera</t>
  </si>
  <si>
    <t>Lugar</t>
  </si>
  <si>
    <t>TE</t>
  </si>
  <si>
    <t>SC</t>
  </si>
  <si>
    <t>19.584582 -99.765027</t>
  </si>
  <si>
    <t>X,Y</t>
  </si>
  <si>
    <t>Pastejé</t>
  </si>
  <si>
    <t>19.647570 -99.786250</t>
  </si>
  <si>
    <t>TRAMO</t>
  </si>
  <si>
    <t>Atlacomulco</t>
  </si>
  <si>
    <t>19.783020 -99.864940</t>
  </si>
  <si>
    <t>El Dorado</t>
  </si>
  <si>
    <t>19.403330 -99.713920</t>
  </si>
  <si>
    <t>19.808680 -99.872800</t>
  </si>
  <si>
    <t>Acambay</t>
  </si>
  <si>
    <t>19.964660 -99.852490</t>
  </si>
  <si>
    <t>19.916200 -99.851100</t>
  </si>
  <si>
    <t>X. C. Toluca - Palmillas</t>
  </si>
  <si>
    <t>Libramiento Norte de la Ciudad de México (Cuota)</t>
  </si>
  <si>
    <t>19.923080 -99.838190</t>
  </si>
  <si>
    <t>TDPA EFECTIVO</t>
  </si>
  <si>
    <t>TDPA PROMEDIO</t>
  </si>
  <si>
    <t>T. C. México - Querétaro</t>
  </si>
  <si>
    <t>20.294830 -99.933230</t>
  </si>
  <si>
    <t>19.970160 -99.537290</t>
  </si>
  <si>
    <t>C. P. Jilotepec</t>
  </si>
  <si>
    <t>México - Querétaro (Cuota)</t>
  </si>
  <si>
    <t>T. Izq. Jilotepec</t>
  </si>
  <si>
    <t>19.985670 -99.443640</t>
  </si>
  <si>
    <t>20.292080 -99.921750</t>
  </si>
  <si>
    <t>T. Izq. Toluca</t>
  </si>
  <si>
    <t>1. Escenario</t>
  </si>
  <si>
    <t>DISTRIBUCIÓN</t>
  </si>
  <si>
    <t>TDPAef</t>
  </si>
  <si>
    <t>(TDPA EFECTIVO; ES EL QUE EXCLUSIVAMENTE VA DEL PRIMER AL ULTIMO PUNTO DE LA RUTA PRINCIPAL; NO EL TDPA TOTAL)</t>
  </si>
  <si>
    <t>TDPA (vpd)</t>
  </si>
  <si>
    <t>TDPAsum*</t>
  </si>
  <si>
    <t>TDPA efectivo en cada tramo incluyendo los vehiculos provenientes de la ruta principal</t>
  </si>
  <si>
    <t>TDPAef**</t>
  </si>
  <si>
    <t>"A" 2 Carriles</t>
  </si>
  <si>
    <t>"B" 2 Carriles</t>
  </si>
  <si>
    <t>"C" 2 Carriles</t>
  </si>
  <si>
    <t>"D" 2 Carriles</t>
  </si>
  <si>
    <t>"A" 4+ Carriles</t>
  </si>
  <si>
    <t>"B" 4+ Carriles</t>
  </si>
  <si>
    <t>CUOTA 2 Carriles</t>
  </si>
  <si>
    <t>CUOTA 4+ Carriles</t>
  </si>
  <si>
    <t>PT345</t>
  </si>
  <si>
    <t xml:space="preserve">Modelo de accidentes por kilómetro </t>
  </si>
  <si>
    <t>y = -0.0002x2 + 0.0466x + 0.009</t>
  </si>
  <si>
    <t xml:space="preserve">Modelo de muertos por kilómetro </t>
  </si>
  <si>
    <t>y = -0.00009x2 + 0.01638x + 0.00477</t>
  </si>
  <si>
    <t xml:space="preserve">Modelo de lesionados por kilómetro </t>
  </si>
  <si>
    <t>y = -0.0001x2 + 0.0867x + 0.0369</t>
  </si>
  <si>
    <t>y = -0.0025x2 + 0.0743x + 0.0071</t>
  </si>
  <si>
    <t>y = -0.0018x2 + 0.0374x + 0.0053</t>
  </si>
  <si>
    <t>y = -0.0093x2 + 0.1872x - 0.0099</t>
  </si>
  <si>
    <t>y = -0.0003x2 + 0.0473x + 0.0838</t>
  </si>
  <si>
    <t>y = -0.00005x2 + 0.00728x + 0.09850</t>
  </si>
  <si>
    <t>y = -0.0006x2 + 0.0813x + 0.2186</t>
  </si>
  <si>
    <t>y = -0.001x2 + 0.0654x - 0.0233</t>
  </si>
  <si>
    <t>y = -0.0003x2 + 0.0195x + 0.0066</t>
  </si>
  <si>
    <t>y = -0.0026x2 + 0.1346x - 0.1013</t>
  </si>
  <si>
    <t>y = -0.0005x2 + 0.0573x + 0.0866</t>
  </si>
  <si>
    <t>y = -0.0001x2 + 0.0133x + 0.0466</t>
  </si>
  <si>
    <t>y = -0.0009x2 + 0.1133x - 0.017</t>
  </si>
  <si>
    <t>y = -0.0013x2 + 0.0689x - 0.0249</t>
  </si>
  <si>
    <t>y = -0.0004x2 + 0.0231x - 0.0066</t>
  </si>
  <si>
    <t>y = -0.0023x2 + 0.1226x - 0.0186</t>
  </si>
  <si>
    <t>y = -0.0013x2 + 0.0773x - 0.0638</t>
  </si>
  <si>
    <t>y = -0.0004x2 + 0.0203x - 0.0006</t>
  </si>
  <si>
    <t>y = -0.0024x2 + 0.1443x - 0.1237</t>
  </si>
  <si>
    <t>y = -0.0029x2 + 0.0787x - 0.0208</t>
  </si>
  <si>
    <t>y = -0.0008x2 + 0.0226x + 0.0029</t>
  </si>
  <si>
    <t>y = -0.0056x2 + 0.1552x - 0.0367</t>
  </si>
  <si>
    <t>TOTAL</t>
  </si>
  <si>
    <t>Cadenamiento</t>
  </si>
  <si>
    <t>17 a 32</t>
  </si>
  <si>
    <t>33.44 a 51.65</t>
  </si>
  <si>
    <t>0 a 28</t>
  </si>
  <si>
    <t>5 a 23</t>
  </si>
  <si>
    <t>0 a 3.1</t>
  </si>
  <si>
    <t>0 a 5.9</t>
  </si>
  <si>
    <t>26.8 a 59.8</t>
  </si>
  <si>
    <t>32 a 63.75</t>
  </si>
  <si>
    <t>84.3 a 106.8</t>
  </si>
  <si>
    <t>9 a 46.6</t>
  </si>
  <si>
    <t>Accidentes/km/año*</t>
  </si>
  <si>
    <t>Clasificación por tramo</t>
  </si>
  <si>
    <t>Longitud por tramo (km)</t>
  </si>
  <si>
    <t>Valor actual del Dólar</t>
  </si>
  <si>
    <t>$$</t>
  </si>
  <si>
    <t>$</t>
  </si>
  <si>
    <t>Costo del dólar en MXN</t>
  </si>
  <si>
    <t>CIAXa</t>
  </si>
  <si>
    <t>CIAXd</t>
  </si>
  <si>
    <t>CIAXhr</t>
  </si>
  <si>
    <t>CIAXm</t>
  </si>
  <si>
    <t>($/min)</t>
  </si>
  <si>
    <t>CIAXs</t>
  </si>
  <si>
    <t>Resumen por ruta</t>
  </si>
  <si>
    <t>(accidentes/año)</t>
  </si>
  <si>
    <t>Vehiculos que pasarían de más provenientes de la ruta original</t>
  </si>
  <si>
    <t>Accidentes/año*</t>
  </si>
  <si>
    <t>Modelo VI</t>
  </si>
  <si>
    <t>Costo indirecto ocasionado por los decesos posibles utilizando rutas alternas</t>
  </si>
  <si>
    <t>Costo indirecto ocasionado por los heridos posibles en accidentes utilizando rutas alternas</t>
  </si>
  <si>
    <t>Cher</t>
  </si>
  <si>
    <t>Cmu</t>
  </si>
  <si>
    <t>Poliza de vida promedio aseguradora</t>
  </si>
  <si>
    <t>Poliza de accidente promedio aseguradora</t>
  </si>
  <si>
    <t>http://www.arconorte.com.mx/recorridos/</t>
  </si>
  <si>
    <t>http://app.sct.gob.mx/</t>
  </si>
  <si>
    <t>Tarifas de peaje para rutas seleccionadas* **</t>
  </si>
  <si>
    <t>Muertos/km/año*</t>
  </si>
  <si>
    <t>Muertos/año*</t>
  </si>
  <si>
    <t>(Muertos/año)</t>
  </si>
  <si>
    <t>Heridos/km/año*</t>
  </si>
  <si>
    <t>Heridos/año*</t>
  </si>
  <si>
    <t>(Heridos/año)</t>
  </si>
  <si>
    <t>Peaje</t>
  </si>
  <si>
    <t>PT</t>
  </si>
  <si>
    <t>($/veh)</t>
  </si>
  <si>
    <t>Tarifa por vehiculo</t>
  </si>
  <si>
    <t>Total de peaje por tipo de vehiculo</t>
  </si>
  <si>
    <t>PT ($)</t>
  </si>
  <si>
    <t>Peaje Total por ruta</t>
  </si>
  <si>
    <t>CIPEAJEd</t>
  </si>
  <si>
    <t>CIPEAJEhr</t>
  </si>
  <si>
    <t>CIPEAJEs</t>
  </si>
  <si>
    <t>Modelo VII</t>
  </si>
  <si>
    <t>Cálculo del costo indirecto generado por el peaje generado al utilizar las rutas alternas</t>
  </si>
  <si>
    <t>2. Datos generales de la red carretera</t>
  </si>
  <si>
    <t>3. Rutas disponibles de la red</t>
  </si>
  <si>
    <t>4. Distribución del aforo de la Red Carretera</t>
  </si>
  <si>
    <t>5. Tránsito Diario Promedio Anual de la Red Carretera</t>
  </si>
  <si>
    <t>6. Datos generales necesarios</t>
  </si>
  <si>
    <t>7. Velocidad propuesta para las rutas alternas</t>
  </si>
  <si>
    <t>8. Costos de operación propuestos para las rutas alternas</t>
  </si>
  <si>
    <t>9. Costos de operación propuestos para las rutas alternas</t>
  </si>
  <si>
    <t>10. Indicadores generales propuestos</t>
  </si>
  <si>
    <t>11. Resumen de costos indirectos</t>
  </si>
  <si>
    <t>Escenario</t>
  </si>
  <si>
    <t>(m)</t>
  </si>
  <si>
    <t>La interrupcion del servicio de la Ruta principal ocasionada por la falla del puente vehicular genera las siguientes consecuencias negativas tomando en cuenta que el</t>
  </si>
  <si>
    <t>Cis</t>
  </si>
  <si>
    <t>Cimin</t>
  </si>
  <si>
    <t>pérdidas por minuto</t>
  </si>
  <si>
    <r>
      <t xml:space="preserve">*Nota: </t>
    </r>
    <r>
      <rPr>
        <sz val="10"/>
        <color theme="1"/>
        <rFont val="Calibri"/>
        <family val="2"/>
        <scheme val="minor"/>
      </rPr>
      <t>Este costo indirecto equivale a la interrupcion del servicio de la ruta principal,  independientemente de la causa de esta (Falla de un puente, talud, mantenimiento, manifestación, etc.)</t>
    </r>
  </si>
  <si>
    <t>pérdidas por segundo*</t>
  </si>
  <si>
    <t>Cmin</t>
  </si>
  <si>
    <t>Cs</t>
  </si>
  <si>
    <t>valor monetario esperado de las consecuencias por minuto</t>
  </si>
  <si>
    <t>valor monetario esperado de las consecuencias por segundo</t>
  </si>
  <si>
    <t>%</t>
  </si>
  <si>
    <t>años</t>
  </si>
  <si>
    <t>Tf</t>
  </si>
  <si>
    <t>Ti</t>
  </si>
  <si>
    <t>Tasa de interes (Índice nacional de precios al productor, industria de la construcción, INEGI 2016)</t>
  </si>
  <si>
    <t>Cm</t>
  </si>
  <si>
    <t>Tipo de falla que originó la interrupción de la ruta principal es derivada de la falla de un talud</t>
  </si>
  <si>
    <t>(TDPA EFECTIVO DE LA RUTA PRINCIPAL; ES EL QUE EXCLUSIVAMENTE VA DEL PRIMER AL ULTIMO PUNTO DE LA RUTA PRINCIPAL; NO EL TDPA TOTAL)</t>
  </si>
  <si>
    <t>TDPA (1 sentido)</t>
  </si>
  <si>
    <t>TDPAef*</t>
  </si>
  <si>
    <t>1. Datos generales de la red carretera</t>
  </si>
  <si>
    <t>2. Rutas disponibles de la red</t>
  </si>
  <si>
    <t>3. Datos generales necesarios</t>
  </si>
  <si>
    <t>PUENTE</t>
  </si>
  <si>
    <t>Monto de inversión, en el año en el que fue construido el puente</t>
  </si>
  <si>
    <t>años que han pasado desde la construccion del puente</t>
  </si>
  <si>
    <t>Probabilidad de falla u ocurencia</t>
  </si>
  <si>
    <t>Costo de mantenimiento preventivo</t>
  </si>
  <si>
    <t>Distribución del aforo vehicular de los tramos en condiciones normales de aforo</t>
  </si>
  <si>
    <t>Tarifas de peaje para rutas seleccionadas</t>
  </si>
  <si>
    <t>adimensional</t>
  </si>
  <si>
    <t>Relación ruta principal vs ruta alterna</t>
  </si>
  <si>
    <t>**La ruta que genera las menores consecuencias es la</t>
  </si>
  <si>
    <t>13. Aplicación</t>
  </si>
  <si>
    <t>14. Costo Directo</t>
  </si>
  <si>
    <t>15. Relación Costos</t>
  </si>
  <si>
    <t>16. Probabilidad de falla (carga viva móvil)*</t>
  </si>
  <si>
    <t>17. Cálculo del riesgo</t>
  </si>
  <si>
    <r>
      <t xml:space="preserve">13. Matriz </t>
    </r>
    <r>
      <rPr>
        <b/>
        <sz val="11"/>
        <color rgb="FFFF0000"/>
        <rFont val="Calibri"/>
        <family val="2"/>
        <scheme val="minor"/>
      </rPr>
      <t xml:space="preserve">Gasto </t>
    </r>
    <r>
      <rPr>
        <b/>
        <sz val="11"/>
        <rFont val="Calibri"/>
        <family val="2"/>
        <scheme val="minor"/>
      </rPr>
      <t>/</t>
    </r>
    <r>
      <rPr>
        <b/>
        <sz val="11"/>
        <color theme="6" tint="-0.249977111117893"/>
        <rFont val="Calibri"/>
        <family val="2"/>
        <scheme val="minor"/>
      </rPr>
      <t>Ahorro</t>
    </r>
  </si>
  <si>
    <t>($/segundo)</t>
  </si>
  <si>
    <t>12. Matriz CRP/CRI (Relación entre los costos generados en la ruta principal y los costos generados en las rutas alternas)</t>
  </si>
  <si>
    <t>MODELO GENERAL DE CONSECUENCIAS (INGRESAR DATOS)</t>
  </si>
  <si>
    <t>SHP</t>
  </si>
  <si>
    <t>Dólar</t>
  </si>
  <si>
    <t>Costo</t>
  </si>
  <si>
    <t>Valores ini</t>
  </si>
  <si>
    <t>Valores alea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</si>
</sst>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_-&quot;XDR&quot;* #,##0.00_-;\-&quot;XDR&quot;* #,##0.00_-;_-&quot;XDR&quot;* &quot;-&quot;??_-;_-@_-"/>
    <numFmt numFmtId="165" formatCode="0.0000"/>
    <numFmt numFmtId="166" formatCode="_-[$$-80A]* #,##0.00_-;\-[$$-80A]* #,##0.00_-;_-[$$-80A]* &quot;-&quot;??_-;_-@_-"/>
    <numFmt numFmtId="167" formatCode="0.0000%"/>
    <numFmt numFmtId="168" formatCode="0.000"/>
    <numFmt numFmtId="169" formatCode="&quot;Tramo&quot;\ 0"/>
    <numFmt numFmtId="170" formatCode="_-[$$-80A]* #,##0.000_-;\-[$$-80A]* #,##0.000_-;_-[$$-80A]* &quot;-&quot;??_-;_-@_-"/>
    <numFmt numFmtId="171" formatCode="0.000%"/>
  </numFmts>
  <fonts count="34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B0F0"/>
      <name val="Calibri"/>
      <family val="2"/>
      <scheme val="minor"/>
    </font>
    <font>
      <b/>
      <sz val="11"/>
      <name val="Calibri"/>
      <family val="2"/>
      <scheme val="minor"/>
    </font>
    <font>
      <b/>
      <sz val="8"/>
      <color theme="1"/>
      <name val="Calibri"/>
      <family val="2"/>
      <scheme val="minor"/>
    </font>
    <font>
      <u/>
      <sz val="8"/>
      <color theme="1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u/>
      <sz val="8"/>
      <name val="Calibri"/>
      <family val="2"/>
      <scheme val="minor"/>
    </font>
    <font>
      <sz val="9"/>
      <color rgb="FF00B0F0"/>
      <name val="Calibri"/>
      <family val="2"/>
      <scheme val="minor"/>
    </font>
    <font>
      <sz val="7"/>
      <color rgb="FF00B0F0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9"/>
      <name val="Calibri"/>
      <family val="2"/>
      <scheme val="minor"/>
    </font>
    <font>
      <b/>
      <sz val="9"/>
      <name val="Calibri"/>
      <family val="2"/>
      <scheme val="minor"/>
    </font>
    <font>
      <sz val="1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rgb="FFFF0000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theme="8"/>
      <name val="Calibri"/>
      <family val="2"/>
      <scheme val="minor"/>
    </font>
    <font>
      <b/>
      <sz val="1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6" tint="-0.249977111117893"/>
      <name val="Calibri"/>
      <family val="2"/>
      <scheme val="minor"/>
    </font>
    <font>
      <sz val="10"/>
      <color rgb="FF333333"/>
      <name val="Georgia"/>
      <family val="1"/>
    </font>
  </fonts>
  <fills count="1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2" tint="-0.249977111117893"/>
        <bgColor indexed="64"/>
      </patternFill>
    </fill>
  </fills>
  <borders count="1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368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/>
    <xf numFmtId="0" fontId="1" fillId="0" borderId="0" xfId="0" applyFont="1" applyAlignment="1">
      <alignment horizontal="center"/>
    </xf>
    <xf numFmtId="0" fontId="0" fillId="0" borderId="0" xfId="0" applyAlignment="1">
      <alignment horizontal="center" wrapText="1"/>
    </xf>
    <xf numFmtId="0" fontId="0" fillId="0" borderId="0" xfId="0" applyAlignment="1">
      <alignment horizontal="left"/>
    </xf>
    <xf numFmtId="0" fontId="3" fillId="0" borderId="0" xfId="0" applyFont="1" applyAlignment="1">
      <alignment horizontal="center"/>
    </xf>
    <xf numFmtId="2" fontId="0" fillId="0" borderId="1" xfId="0" applyNumberFormat="1" applyBorder="1" applyAlignment="1">
      <alignment horizontal="center"/>
    </xf>
    <xf numFmtId="0" fontId="3" fillId="0" borderId="0" xfId="0" applyFont="1" applyAlignment="1">
      <alignment horizontal="left"/>
    </xf>
    <xf numFmtId="9" fontId="0" fillId="0" borderId="1" xfId="0" applyNumberFormat="1" applyBorder="1" applyAlignment="1">
      <alignment horizontal="center"/>
    </xf>
    <xf numFmtId="0" fontId="3" fillId="0" borderId="0" xfId="0" applyFont="1" applyAlignment="1">
      <alignment horizontal="center" wrapText="1"/>
    </xf>
    <xf numFmtId="2" fontId="0" fillId="0" borderId="1" xfId="0" applyNumberFormat="1" applyBorder="1"/>
    <xf numFmtId="0" fontId="3" fillId="0" borderId="2" xfId="0" applyFont="1" applyBorder="1" applyAlignment="1">
      <alignment horizontal="center"/>
    </xf>
    <xf numFmtId="0" fontId="3" fillId="0" borderId="0" xfId="0" applyFont="1"/>
    <xf numFmtId="0" fontId="0" fillId="0" borderId="1" xfId="0" applyBorder="1"/>
    <xf numFmtId="166" fontId="0" fillId="0" borderId="0" xfId="0" applyNumberFormat="1"/>
    <xf numFmtId="166" fontId="1" fillId="0" borderId="0" xfId="0" applyNumberFormat="1" applyFont="1"/>
    <xf numFmtId="166" fontId="0" fillId="0" borderId="0" xfId="2" applyNumberFormat="1" applyFont="1"/>
    <xf numFmtId="0" fontId="3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2" fontId="1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66" fontId="0" fillId="0" borderId="1" xfId="1" applyNumberFormat="1" applyFon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5" fillId="0" borderId="0" xfId="3" applyAlignment="1">
      <alignment horizontal="left"/>
    </xf>
    <xf numFmtId="0" fontId="0" fillId="0" borderId="0" xfId="0" applyAlignment="1">
      <alignment horizontal="right"/>
    </xf>
    <xf numFmtId="10" fontId="1" fillId="0" borderId="1" xfId="1" applyNumberFormat="1" applyFont="1" applyBorder="1" applyAlignment="1">
      <alignment horizontal="center"/>
    </xf>
    <xf numFmtId="166" fontId="0" fillId="0" borderId="0" xfId="0" applyNumberFormat="1" applyBorder="1" applyAlignment="1">
      <alignment horizontal="center"/>
    </xf>
    <xf numFmtId="9" fontId="0" fillId="0" borderId="1" xfId="1" applyFont="1" applyBorder="1" applyAlignment="1">
      <alignment horizontal="center"/>
    </xf>
    <xf numFmtId="0" fontId="0" fillId="0" borderId="1" xfId="0" applyBorder="1" applyAlignment="1">
      <alignment horizontal="center" vertical="center" wrapText="1"/>
    </xf>
    <xf numFmtId="0" fontId="8" fillId="0" borderId="1" xfId="0" applyFont="1" applyBorder="1" applyAlignment="1">
      <alignment horizontal="center"/>
    </xf>
    <xf numFmtId="0" fontId="0" fillId="0" borderId="0" xfId="0" applyBorder="1"/>
    <xf numFmtId="0" fontId="0" fillId="0" borderId="0" xfId="0" applyFill="1" applyBorder="1"/>
    <xf numFmtId="0" fontId="3" fillId="0" borderId="1" xfId="0" applyFont="1" applyFill="1" applyBorder="1" applyAlignment="1">
      <alignment horizontal="center"/>
    </xf>
    <xf numFmtId="0" fontId="5" fillId="0" borderId="0" xfId="3" applyBorder="1"/>
    <xf numFmtId="166" fontId="0" fillId="0" borderId="1" xfId="0" applyNumberFormat="1" applyBorder="1"/>
    <xf numFmtId="0" fontId="0" fillId="0" borderId="1" xfId="0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3" fillId="0" borderId="0" xfId="0" applyNumberFormat="1" applyFont="1" applyBorder="1" applyAlignment="1">
      <alignment horizontal="center"/>
    </xf>
    <xf numFmtId="2" fontId="0" fillId="0" borderId="0" xfId="0" applyNumberFormat="1" applyBorder="1" applyAlignment="1">
      <alignment horizontal="left"/>
    </xf>
    <xf numFmtId="0" fontId="4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10" fontId="1" fillId="0" borderId="0" xfId="1" applyNumberFormat="1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166" fontId="4" fillId="0" borderId="1" xfId="1" applyNumberFormat="1" applyFont="1" applyBorder="1" applyAlignment="1">
      <alignment horizontal="center"/>
    </xf>
    <xf numFmtId="0" fontId="8" fillId="0" borderId="0" xfId="0" applyFont="1" applyBorder="1" applyAlignment="1">
      <alignment horizontal="center"/>
    </xf>
    <xf numFmtId="0" fontId="4" fillId="0" borderId="0" xfId="0" applyFont="1"/>
    <xf numFmtId="0" fontId="10" fillId="0" borderId="0" xfId="0" applyFont="1" applyAlignment="1">
      <alignment horizontal="right"/>
    </xf>
    <xf numFmtId="0" fontId="0" fillId="0" borderId="0" xfId="0" applyFont="1"/>
    <xf numFmtId="0" fontId="11" fillId="0" borderId="0" xfId="3" applyFont="1"/>
    <xf numFmtId="0" fontId="10" fillId="0" borderId="0" xfId="0" applyFont="1" applyFill="1" applyBorder="1" applyAlignment="1">
      <alignment horizontal="right" wrapText="1"/>
    </xf>
    <xf numFmtId="0" fontId="11" fillId="0" borderId="0" xfId="3" applyFont="1" applyFill="1" applyBorder="1" applyAlignment="1">
      <alignment horizontal="left"/>
    </xf>
    <xf numFmtId="0" fontId="7" fillId="0" borderId="0" xfId="0" applyFont="1" applyAlignment="1">
      <alignment horizontal="right"/>
    </xf>
    <xf numFmtId="9" fontId="4" fillId="0" borderId="0" xfId="1" applyFont="1" applyAlignment="1">
      <alignment horizontal="center"/>
    </xf>
    <xf numFmtId="0" fontId="12" fillId="0" borderId="0" xfId="0" applyFont="1" applyAlignment="1">
      <alignment horizontal="left"/>
    </xf>
    <xf numFmtId="0" fontId="12" fillId="0" borderId="0" xfId="0" applyFont="1" applyAlignment="1">
      <alignment horizontal="center"/>
    </xf>
    <xf numFmtId="166" fontId="4" fillId="0" borderId="0" xfId="0" applyNumberFormat="1" applyFont="1" applyBorder="1" applyAlignment="1"/>
    <xf numFmtId="0" fontId="12" fillId="0" borderId="0" xfId="0" applyFont="1"/>
    <xf numFmtId="166" fontId="0" fillId="0" borderId="0" xfId="0" applyNumberFormat="1" applyAlignment="1">
      <alignment horizontal="left"/>
    </xf>
    <xf numFmtId="166" fontId="0" fillId="0" borderId="0" xfId="0" applyNumberFormat="1" applyFont="1"/>
    <xf numFmtId="0" fontId="13" fillId="0" borderId="0" xfId="0" applyFont="1"/>
    <xf numFmtId="0" fontId="9" fillId="0" borderId="0" xfId="0" applyFont="1"/>
    <xf numFmtId="0" fontId="9" fillId="0" borderId="1" xfId="0" applyFont="1" applyBorder="1" applyAlignment="1">
      <alignment horizontal="center"/>
    </xf>
    <xf numFmtId="0" fontId="15" fillId="0" borderId="0" xfId="0" applyFont="1" applyAlignment="1">
      <alignment horizontal="right"/>
    </xf>
    <xf numFmtId="0" fontId="16" fillId="0" borderId="0" xfId="0" applyFont="1"/>
    <xf numFmtId="0" fontId="15" fillId="0" borderId="0" xfId="0" applyFont="1" applyFill="1" applyBorder="1" applyAlignment="1">
      <alignment horizontal="right"/>
    </xf>
    <xf numFmtId="0" fontId="17" fillId="0" borderId="0" xfId="3" applyFont="1"/>
    <xf numFmtId="0" fontId="9" fillId="0" borderId="0" xfId="0" applyFont="1" applyAlignment="1">
      <alignment horizontal="center"/>
    </xf>
    <xf numFmtId="166" fontId="4" fillId="0" borderId="0" xfId="0" applyNumberFormat="1" applyFont="1"/>
    <xf numFmtId="0" fontId="4" fillId="0" borderId="0" xfId="0" applyFont="1" applyAlignment="1">
      <alignment horizontal="left"/>
    </xf>
    <xf numFmtId="166" fontId="9" fillId="0" borderId="0" xfId="0" applyNumberFormat="1" applyFont="1"/>
    <xf numFmtId="9" fontId="4" fillId="0" borderId="0" xfId="1" applyFont="1"/>
    <xf numFmtId="0" fontId="9" fillId="0" borderId="0" xfId="1" applyNumberFormat="1" applyFont="1"/>
    <xf numFmtId="0" fontId="4" fillId="0" borderId="0" xfId="0" applyFont="1" applyAlignment="1">
      <alignment horizontal="right"/>
    </xf>
    <xf numFmtId="168" fontId="9" fillId="0" borderId="0" xfId="0" applyNumberFormat="1" applyFont="1" applyAlignment="1">
      <alignment horizontal="center"/>
    </xf>
    <xf numFmtId="168" fontId="1" fillId="0" borderId="1" xfId="0" applyNumberFormat="1" applyFont="1" applyBorder="1" applyAlignment="1">
      <alignment horizontal="center"/>
    </xf>
    <xf numFmtId="0" fontId="1" fillId="0" borderId="1" xfId="1" applyNumberFormat="1" applyFont="1" applyBorder="1" applyAlignment="1">
      <alignment horizontal="center"/>
    </xf>
    <xf numFmtId="0" fontId="3" fillId="0" borderId="1" xfId="0" applyFont="1" applyBorder="1"/>
    <xf numFmtId="0" fontId="8" fillId="0" borderId="0" xfId="0" applyFont="1" applyBorder="1"/>
    <xf numFmtId="2" fontId="4" fillId="0" borderId="1" xfId="0" applyNumberFormat="1" applyFont="1" applyBorder="1" applyAlignment="1">
      <alignment horizontal="center"/>
    </xf>
    <xf numFmtId="0" fontId="18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2" fontId="4" fillId="0" borderId="1" xfId="0" applyNumberFormat="1" applyFont="1" applyBorder="1" applyAlignment="1">
      <alignment horizontal="center" wrapText="1"/>
    </xf>
    <xf numFmtId="165" fontId="4" fillId="0" borderId="1" xfId="0" applyNumberFormat="1" applyFont="1" applyBorder="1" applyAlignment="1">
      <alignment horizontal="center" wrapText="1"/>
    </xf>
    <xf numFmtId="2" fontId="4" fillId="2" borderId="1" xfId="0" applyNumberFormat="1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/>
    </xf>
    <xf numFmtId="0" fontId="3" fillId="0" borderId="0" xfId="0" applyFont="1" applyBorder="1"/>
    <xf numFmtId="0" fontId="18" fillId="0" borderId="0" xfId="0" applyFont="1" applyBorder="1" applyAlignment="1">
      <alignment horizontal="center"/>
    </xf>
    <xf numFmtId="0" fontId="14" fillId="0" borderId="1" xfId="0" applyFont="1" applyBorder="1" applyAlignment="1">
      <alignment horizontal="center" wrapText="1"/>
    </xf>
    <xf numFmtId="0" fontId="19" fillId="0" borderId="0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 wrapText="1"/>
    </xf>
    <xf numFmtId="0" fontId="3" fillId="0" borderId="1" xfId="0" applyFont="1" applyBorder="1" applyAlignment="1">
      <alignment horizontal="center" wrapText="1"/>
    </xf>
    <xf numFmtId="0" fontId="0" fillId="0" borderId="1" xfId="0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9" fillId="0" borderId="6" xfId="0" applyFont="1" applyBorder="1" applyAlignment="1">
      <alignment horizontal="center"/>
    </xf>
    <xf numFmtId="166" fontId="4" fillId="0" borderId="6" xfId="1" applyNumberFormat="1" applyFont="1" applyBorder="1" applyAlignment="1">
      <alignment horizontal="center"/>
    </xf>
    <xf numFmtId="0" fontId="20" fillId="0" borderId="1" xfId="1" applyNumberFormat="1" applyFont="1" applyBorder="1" applyAlignment="1">
      <alignment horizontal="center"/>
    </xf>
    <xf numFmtId="0" fontId="13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14" fillId="0" borderId="1" xfId="0" applyFont="1" applyBorder="1" applyAlignment="1">
      <alignment horizontal="left" wrapText="1"/>
    </xf>
    <xf numFmtId="0" fontId="14" fillId="0" borderId="1" xfId="0" applyFont="1" applyBorder="1" applyAlignment="1">
      <alignment horizontal="left"/>
    </xf>
    <xf numFmtId="0" fontId="0" fillId="3" borderId="0" xfId="0" applyFill="1" applyAlignment="1">
      <alignment horizontal="center"/>
    </xf>
    <xf numFmtId="0" fontId="1" fillId="3" borderId="0" xfId="0" applyFont="1" applyFill="1" applyAlignment="1">
      <alignment horizontal="center"/>
    </xf>
    <xf numFmtId="0" fontId="3" fillId="3" borderId="1" xfId="0" applyFon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166" fontId="0" fillId="3" borderId="1" xfId="0" applyNumberFormat="1" applyFill="1" applyBorder="1"/>
    <xf numFmtId="0" fontId="13" fillId="0" borderId="1" xfId="0" applyFont="1" applyFill="1" applyBorder="1" applyAlignment="1">
      <alignment horizontal="center"/>
    </xf>
    <xf numFmtId="0" fontId="21" fillId="0" borderId="1" xfId="0" applyFont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2" xfId="0" applyBorder="1" applyAlignment="1">
      <alignment horizontal="center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0" fillId="0" borderId="1" xfId="0" applyFill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18" fillId="4" borderId="1" xfId="0" applyNumberFormat="1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14" fillId="0" borderId="0" xfId="0" applyNumberFormat="1" applyFont="1" applyAlignment="1">
      <alignment horizontal="center"/>
    </xf>
    <xf numFmtId="0" fontId="23" fillId="0" borderId="0" xfId="0" applyFont="1" applyBorder="1" applyAlignment="1"/>
    <xf numFmtId="0" fontId="22" fillId="0" borderId="0" xfId="0" applyFont="1" applyBorder="1" applyAlignment="1"/>
    <xf numFmtId="0" fontId="22" fillId="0" borderId="0" xfId="0" applyFont="1" applyFill="1" applyBorder="1" applyAlignment="1"/>
    <xf numFmtId="0" fontId="0" fillId="0" borderId="0" xfId="0" applyFill="1" applyBorder="1" applyAlignment="1">
      <alignment horizontal="center"/>
    </xf>
    <xf numFmtId="2" fontId="4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Fill="1" applyBorder="1" applyAlignment="1">
      <alignment horizontal="left"/>
    </xf>
    <xf numFmtId="0" fontId="3" fillId="0" borderId="0" xfId="0" applyFont="1" applyFill="1" applyBorder="1" applyAlignment="1"/>
    <xf numFmtId="169" fontId="3" fillId="0" borderId="1" xfId="0" applyNumberFormat="1" applyFont="1" applyBorder="1" applyAlignment="1">
      <alignment horizontal="center"/>
    </xf>
    <xf numFmtId="0" fontId="0" fillId="4" borderId="1" xfId="0" applyFill="1" applyBorder="1" applyAlignment="1">
      <alignment horizontal="center"/>
    </xf>
    <xf numFmtId="10" fontId="1" fillId="0" borderId="0" xfId="1" applyNumberFormat="1" applyFont="1" applyFill="1" applyBorder="1" applyAlignment="1">
      <alignment horizontal="center"/>
    </xf>
    <xf numFmtId="0" fontId="0" fillId="0" borderId="0" xfId="0" applyFill="1" applyAlignment="1">
      <alignment horizontal="center" vertical="center"/>
    </xf>
    <xf numFmtId="0" fontId="0" fillId="4" borderId="1" xfId="0" applyNumberFormat="1" applyFont="1" applyFill="1" applyBorder="1" applyAlignment="1">
      <alignment horizontal="center"/>
    </xf>
    <xf numFmtId="0" fontId="0" fillId="4" borderId="1" xfId="0" applyFont="1" applyFill="1" applyBorder="1" applyAlignment="1">
      <alignment horizontal="center"/>
    </xf>
    <xf numFmtId="2" fontId="0" fillId="2" borderId="1" xfId="0" applyNumberFormat="1" applyFill="1" applyBorder="1" applyAlignment="1">
      <alignment horizontal="center"/>
    </xf>
    <xf numFmtId="0" fontId="0" fillId="4" borderId="1" xfId="0" applyFill="1" applyBorder="1"/>
    <xf numFmtId="0" fontId="0" fillId="0" borderId="1" xfId="0" applyFont="1" applyBorder="1" applyAlignment="1">
      <alignment horizontal="center"/>
    </xf>
    <xf numFmtId="0" fontId="22" fillId="0" borderId="1" xfId="0" applyNumberFormat="1" applyFont="1" applyFill="1" applyBorder="1" applyAlignment="1">
      <alignment horizontal="center"/>
    </xf>
    <xf numFmtId="0" fontId="4" fillId="0" borderId="0" xfId="0" applyFont="1" applyFill="1" applyAlignment="1">
      <alignment horizontal="center"/>
    </xf>
    <xf numFmtId="0" fontId="13" fillId="0" borderId="1" xfId="0" applyFont="1" applyBorder="1"/>
    <xf numFmtId="0" fontId="4" fillId="0" borderId="1" xfId="0" applyFont="1" applyFill="1" applyBorder="1" applyAlignment="1">
      <alignment horizontal="center"/>
    </xf>
    <xf numFmtId="166" fontId="0" fillId="0" borderId="0" xfId="0" applyNumberFormat="1" applyBorder="1"/>
    <xf numFmtId="0" fontId="13" fillId="0" borderId="0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0" fillId="0" borderId="1" xfId="0" applyNumberFormat="1" applyBorder="1" applyAlignment="1">
      <alignment horizontal="center"/>
    </xf>
    <xf numFmtId="0" fontId="3" fillId="0" borderId="0" xfId="0" applyFont="1" applyAlignment="1">
      <alignment horizontal="right" wrapText="1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0" fillId="0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14" fillId="0" borderId="1" xfId="0" applyFont="1" applyBorder="1" applyAlignment="1">
      <alignment horizontal="center"/>
    </xf>
    <xf numFmtId="2" fontId="18" fillId="0" borderId="0" xfId="0" applyNumberFormat="1" applyFont="1" applyBorder="1" applyAlignment="1">
      <alignment horizontal="center"/>
    </xf>
    <xf numFmtId="2" fontId="6" fillId="0" borderId="1" xfId="0" applyNumberFormat="1" applyFont="1" applyBorder="1" applyAlignment="1">
      <alignment horizontal="center"/>
    </xf>
    <xf numFmtId="2" fontId="18" fillId="0" borderId="1" xfId="0" applyNumberFormat="1" applyFont="1" applyBorder="1" applyAlignment="1">
      <alignment horizontal="center"/>
    </xf>
    <xf numFmtId="2" fontId="6" fillId="0" borderId="0" xfId="0" applyNumberFormat="1" applyFont="1" applyBorder="1" applyAlignment="1">
      <alignment horizontal="center"/>
    </xf>
    <xf numFmtId="0" fontId="7" fillId="2" borderId="1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0" fontId="24" fillId="0" borderId="0" xfId="0" applyFont="1"/>
    <xf numFmtId="9" fontId="0" fillId="2" borderId="1" xfId="1" applyFont="1" applyFill="1" applyBorder="1" applyAlignment="1">
      <alignment horizontal="center"/>
    </xf>
    <xf numFmtId="0" fontId="6" fillId="0" borderId="0" xfId="0" applyFont="1" applyAlignment="1">
      <alignment horizontal="center" wrapText="1"/>
    </xf>
    <xf numFmtId="0" fontId="3" fillId="0" borderId="1" xfId="0" applyFont="1" applyFill="1" applyBorder="1" applyAlignment="1">
      <alignment horizontal="center" wrapText="1"/>
    </xf>
    <xf numFmtId="0" fontId="0" fillId="4" borderId="0" xfId="0" applyFill="1" applyBorder="1" applyAlignment="1">
      <alignment horizontal="center"/>
    </xf>
    <xf numFmtId="0" fontId="0" fillId="4" borderId="0" xfId="0" applyFill="1" applyBorder="1"/>
    <xf numFmtId="0" fontId="3" fillId="0" borderId="0" xfId="0" applyFont="1" applyBorder="1" applyAlignment="1">
      <alignment horizontal="right"/>
    </xf>
    <xf numFmtId="10" fontId="0" fillId="0" borderId="1" xfId="1" applyNumberFormat="1" applyFont="1" applyBorder="1" applyAlignment="1">
      <alignment horizontal="center"/>
    </xf>
    <xf numFmtId="0" fontId="4" fillId="0" borderId="1" xfId="0" applyFont="1" applyBorder="1" applyAlignment="1">
      <alignment horizontal="center" wrapText="1"/>
    </xf>
    <xf numFmtId="0" fontId="4" fillId="0" borderId="0" xfId="0" applyFont="1" applyBorder="1" applyAlignment="1">
      <alignment horizontal="left"/>
    </xf>
    <xf numFmtId="10" fontId="0" fillId="0" borderId="0" xfId="1" applyNumberFormat="1" applyFont="1" applyBorder="1" applyAlignment="1">
      <alignment horizontal="center"/>
    </xf>
    <xf numFmtId="0" fontId="10" fillId="0" borderId="1" xfId="0" applyFont="1" applyBorder="1" applyAlignment="1">
      <alignment horizontal="left" wrapText="1"/>
    </xf>
    <xf numFmtId="0" fontId="10" fillId="0" borderId="1" xfId="0" applyFont="1" applyBorder="1" applyAlignment="1">
      <alignment horizontal="left"/>
    </xf>
    <xf numFmtId="166" fontId="22" fillId="0" borderId="1" xfId="0" applyNumberFormat="1" applyFont="1" applyFill="1" applyBorder="1" applyAlignment="1">
      <alignment horizontal="center"/>
    </xf>
    <xf numFmtId="0" fontId="10" fillId="0" borderId="1" xfId="0" applyFont="1" applyBorder="1"/>
    <xf numFmtId="2" fontId="4" fillId="0" borderId="1" xfId="0" applyNumberFormat="1" applyFont="1" applyBorder="1"/>
    <xf numFmtId="0" fontId="15" fillId="0" borderId="1" xfId="0" applyFont="1" applyBorder="1" applyAlignment="1">
      <alignment horizontal="center" wrapText="1"/>
    </xf>
    <xf numFmtId="0" fontId="23" fillId="0" borderId="1" xfId="0" applyFont="1" applyFill="1" applyBorder="1" applyAlignment="1">
      <alignment horizontal="center" wrapText="1"/>
    </xf>
    <xf numFmtId="0" fontId="7" fillId="0" borderId="1" xfId="0" applyFont="1" applyBorder="1" applyAlignment="1">
      <alignment horizontal="center"/>
    </xf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center"/>
    </xf>
    <xf numFmtId="10" fontId="18" fillId="0" borderId="0" xfId="0" applyNumberFormat="1" applyFont="1" applyBorder="1" applyAlignment="1">
      <alignment horizontal="center"/>
    </xf>
    <xf numFmtId="10" fontId="8" fillId="4" borderId="1" xfId="1" applyNumberFormat="1" applyFont="1" applyFill="1" applyBorder="1" applyAlignment="1">
      <alignment horizontal="center"/>
    </xf>
    <xf numFmtId="10" fontId="8" fillId="2" borderId="1" xfId="1" applyNumberFormat="1" applyFont="1" applyFill="1" applyBorder="1" applyAlignment="1">
      <alignment horizontal="center"/>
    </xf>
    <xf numFmtId="0" fontId="19" fillId="4" borderId="1" xfId="0" applyFont="1" applyFill="1" applyBorder="1" applyAlignment="1">
      <alignment horizontal="center"/>
    </xf>
    <xf numFmtId="0" fontId="18" fillId="4" borderId="1" xfId="0" applyFont="1" applyFill="1" applyBorder="1" applyAlignment="1">
      <alignment horizontal="center"/>
    </xf>
    <xf numFmtId="0" fontId="10" fillId="0" borderId="0" xfId="0" applyFont="1"/>
    <xf numFmtId="0" fontId="10" fillId="6" borderId="1" xfId="0" applyFont="1" applyFill="1" applyBorder="1" applyAlignment="1">
      <alignment horizontal="left" wrapText="1"/>
    </xf>
    <xf numFmtId="0" fontId="7" fillId="6" borderId="1" xfId="0" applyFont="1" applyFill="1" applyBorder="1" applyAlignment="1">
      <alignment horizontal="left" wrapText="1"/>
    </xf>
    <xf numFmtId="0" fontId="7" fillId="0" borderId="1" xfId="0" applyFont="1" applyBorder="1" applyAlignment="1">
      <alignment horizontal="left" wrapText="1"/>
    </xf>
    <xf numFmtId="0" fontId="10" fillId="4" borderId="1" xfId="0" applyFont="1" applyFill="1" applyBorder="1" applyAlignment="1">
      <alignment horizontal="left" wrapText="1"/>
    </xf>
    <xf numFmtId="0" fontId="7" fillId="4" borderId="1" xfId="0" applyFont="1" applyFill="1" applyBorder="1" applyAlignment="1">
      <alignment horizontal="left" wrapText="1"/>
    </xf>
    <xf numFmtId="0" fontId="7" fillId="6" borderId="1" xfId="0" applyFont="1" applyFill="1" applyBorder="1" applyAlignment="1">
      <alignment wrapText="1"/>
    </xf>
    <xf numFmtId="0" fontId="7" fillId="0" borderId="0" xfId="0" applyFont="1" applyAlignment="1">
      <alignment horizontal="left" wrapText="1"/>
    </xf>
    <xf numFmtId="0" fontId="7" fillId="0" borderId="1" xfId="0" applyFont="1" applyBorder="1" applyAlignment="1">
      <alignment wrapText="1"/>
    </xf>
    <xf numFmtId="0" fontId="10" fillId="0" borderId="1" xfId="0" applyFont="1" applyFill="1" applyBorder="1" applyAlignment="1">
      <alignment horizontal="left" wrapText="1"/>
    </xf>
    <xf numFmtId="0" fontId="7" fillId="0" borderId="1" xfId="0" applyFont="1" applyFill="1" applyBorder="1" applyAlignment="1">
      <alignment horizontal="left" wrapText="1"/>
    </xf>
    <xf numFmtId="0" fontId="10" fillId="0" borderId="0" xfId="0" applyFont="1" applyAlignment="1">
      <alignment horizontal="left" wrapText="1"/>
    </xf>
    <xf numFmtId="0" fontId="7" fillId="0" borderId="0" xfId="0" applyFont="1" applyAlignment="1">
      <alignment wrapText="1"/>
    </xf>
    <xf numFmtId="10" fontId="7" fillId="6" borderId="1" xfId="1" applyNumberFormat="1" applyFont="1" applyFill="1" applyBorder="1" applyAlignment="1">
      <alignment horizontal="left" wrapText="1"/>
    </xf>
    <xf numFmtId="10" fontId="7" fillId="0" borderId="1" xfId="1" applyNumberFormat="1" applyFont="1" applyBorder="1" applyAlignment="1">
      <alignment horizontal="left" wrapText="1"/>
    </xf>
    <xf numFmtId="10" fontId="7" fillId="4" borderId="1" xfId="1" applyNumberFormat="1" applyFont="1" applyFill="1" applyBorder="1" applyAlignment="1">
      <alignment horizontal="left" wrapText="1"/>
    </xf>
    <xf numFmtId="0" fontId="7" fillId="6" borderId="0" xfId="0" applyFont="1" applyFill="1" applyAlignment="1">
      <alignment wrapText="1"/>
    </xf>
    <xf numFmtId="10" fontId="7" fillId="0" borderId="1" xfId="1" applyNumberFormat="1" applyFont="1" applyFill="1" applyBorder="1" applyAlignment="1">
      <alignment horizontal="left" wrapText="1"/>
    </xf>
    <xf numFmtId="0" fontId="7" fillId="0" borderId="1" xfId="0" applyFont="1" applyFill="1" applyBorder="1" applyAlignment="1">
      <alignment wrapText="1"/>
    </xf>
    <xf numFmtId="0" fontId="8" fillId="4" borderId="1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left" wrapText="1"/>
    </xf>
    <xf numFmtId="10" fontId="7" fillId="2" borderId="1" xfId="1" applyNumberFormat="1" applyFont="1" applyFill="1" applyBorder="1" applyAlignment="1">
      <alignment horizontal="left" wrapText="1"/>
    </xf>
    <xf numFmtId="0" fontId="27" fillId="0" borderId="0" xfId="0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/>
    </xf>
    <xf numFmtId="0" fontId="22" fillId="0" borderId="0" xfId="0" applyFont="1" applyFill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10" fontId="0" fillId="0" borderId="1" xfId="0" applyNumberFormat="1" applyBorder="1"/>
    <xf numFmtId="10" fontId="0" fillId="4" borderId="1" xfId="1" applyNumberFormat="1" applyFont="1" applyFill="1" applyBorder="1" applyAlignment="1">
      <alignment horizontal="center"/>
    </xf>
    <xf numFmtId="10" fontId="0" fillId="4" borderId="1" xfId="0" applyNumberFormat="1" applyFill="1" applyBorder="1" applyAlignment="1">
      <alignment horizontal="center"/>
    </xf>
    <xf numFmtId="0" fontId="13" fillId="0" borderId="0" xfId="0" applyFont="1" applyFill="1" applyBorder="1" applyAlignment="1">
      <alignment horizontal="center"/>
    </xf>
    <xf numFmtId="0" fontId="14" fillId="0" borderId="0" xfId="0" applyFont="1" applyFill="1" applyBorder="1" applyAlignment="1">
      <alignment horizontal="center"/>
    </xf>
    <xf numFmtId="0" fontId="14" fillId="0" borderId="1" xfId="0" applyFont="1" applyBorder="1" applyAlignment="1">
      <alignment wrapText="1"/>
    </xf>
    <xf numFmtId="0" fontId="12" fillId="0" borderId="2" xfId="0" applyFont="1" applyBorder="1" applyAlignment="1">
      <alignment horizontal="left"/>
    </xf>
    <xf numFmtId="0" fontId="12" fillId="0" borderId="4" xfId="0" applyFont="1" applyBorder="1" applyAlignment="1">
      <alignment horizontal="left"/>
    </xf>
    <xf numFmtId="0" fontId="12" fillId="0" borderId="3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13" fillId="0" borderId="0" xfId="0" applyFont="1" applyFill="1" applyBorder="1" applyAlignment="1">
      <alignment horizontal="center"/>
    </xf>
    <xf numFmtId="0" fontId="0" fillId="0" borderId="1" xfId="0" applyBorder="1" applyAlignment="1">
      <alignment horizontal="center" wrapText="1"/>
    </xf>
    <xf numFmtId="0" fontId="0" fillId="0" borderId="1" xfId="0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wrapText="1"/>
    </xf>
    <xf numFmtId="0" fontId="0" fillId="0" borderId="0" xfId="0" applyAlignment="1">
      <alignment horizontal="center"/>
    </xf>
    <xf numFmtId="0" fontId="0" fillId="7" borderId="1" xfId="0" applyFill="1" applyBorder="1" applyAlignment="1">
      <alignment horizontal="center"/>
    </xf>
    <xf numFmtId="0" fontId="0" fillId="8" borderId="1" xfId="0" applyFill="1" applyBorder="1" applyAlignment="1">
      <alignment horizontal="center"/>
    </xf>
    <xf numFmtId="0" fontId="0" fillId="8" borderId="1" xfId="0" applyFill="1" applyBorder="1"/>
    <xf numFmtId="0" fontId="0" fillId="9" borderId="1" xfId="0" applyFill="1" applyBorder="1" applyAlignment="1">
      <alignment horizontal="center"/>
    </xf>
    <xf numFmtId="0" fontId="13" fillId="0" borderId="0" xfId="0" applyFont="1" applyFill="1" applyBorder="1" applyAlignment="1">
      <alignment horizontal="center" wrapText="1"/>
    </xf>
    <xf numFmtId="0" fontId="3" fillId="0" borderId="1" xfId="0" applyFont="1" applyBorder="1" applyAlignment="1">
      <alignment vertical="center"/>
    </xf>
    <xf numFmtId="0" fontId="0" fillId="0" borderId="0" xfId="0" applyAlignment="1"/>
    <xf numFmtId="166" fontId="0" fillId="0" borderId="0" xfId="0" applyNumberFormat="1" applyAlignment="1">
      <alignment horizontal="center"/>
    </xf>
    <xf numFmtId="0" fontId="3" fillId="0" borderId="10" xfId="0" applyFont="1" applyBorder="1" applyAlignment="1"/>
    <xf numFmtId="0" fontId="3" fillId="0" borderId="11" xfId="0" applyFont="1" applyBorder="1" applyAlignment="1"/>
    <xf numFmtId="0" fontId="3" fillId="0" borderId="12" xfId="0" applyFont="1" applyBorder="1" applyAlignment="1"/>
    <xf numFmtId="0" fontId="9" fillId="0" borderId="9" xfId="0" applyFont="1" applyBorder="1" applyAlignment="1"/>
    <xf numFmtId="0" fontId="9" fillId="0" borderId="8" xfId="0" applyFont="1" applyBorder="1" applyAlignment="1"/>
    <xf numFmtId="0" fontId="9" fillId="0" borderId="13" xfId="0" applyFont="1" applyBorder="1" applyAlignment="1"/>
    <xf numFmtId="2" fontId="4" fillId="0" borderId="1" xfId="0" applyNumberFormat="1" applyFont="1" applyBorder="1" applyAlignment="1">
      <alignment horizontal="right"/>
    </xf>
    <xf numFmtId="0" fontId="9" fillId="0" borderId="0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right"/>
    </xf>
    <xf numFmtId="166" fontId="0" fillId="9" borderId="1" xfId="0" applyNumberFormat="1" applyFill="1" applyBorder="1" applyAlignment="1">
      <alignment horizontal="center"/>
    </xf>
    <xf numFmtId="0" fontId="3" fillId="0" borderId="0" xfId="0" applyFont="1" applyAlignment="1"/>
    <xf numFmtId="0" fontId="0" fillId="0" borderId="6" xfId="0" applyFont="1" applyBorder="1" applyAlignment="1">
      <alignment horizontal="center" vertical="center"/>
    </xf>
    <xf numFmtId="0" fontId="3" fillId="0" borderId="6" xfId="0" applyFont="1" applyBorder="1" applyAlignment="1">
      <alignment horizontal="left"/>
    </xf>
    <xf numFmtId="0" fontId="0" fillId="10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0" fillId="6" borderId="1" xfId="0" applyFill="1" applyBorder="1" applyAlignment="1">
      <alignment horizontal="center"/>
    </xf>
    <xf numFmtId="0" fontId="0" fillId="0" borderId="6" xfId="0" applyFont="1" applyBorder="1" applyAlignment="1">
      <alignment horizontal="left"/>
    </xf>
    <xf numFmtId="0" fontId="3" fillId="0" borderId="1" xfId="0" applyFont="1" applyBorder="1" applyAlignment="1">
      <alignment wrapText="1"/>
    </xf>
    <xf numFmtId="166" fontId="0" fillId="10" borderId="1" xfId="0" applyNumberFormat="1" applyFill="1" applyBorder="1" applyAlignment="1">
      <alignment horizontal="center"/>
    </xf>
    <xf numFmtId="0" fontId="5" fillId="0" borderId="0" xfId="3"/>
    <xf numFmtId="166" fontId="4" fillId="0" borderId="1" xfId="0" applyNumberFormat="1" applyFont="1" applyBorder="1" applyAlignment="1">
      <alignment horizontal="center"/>
    </xf>
    <xf numFmtId="0" fontId="28" fillId="0" borderId="1" xfId="0" applyFont="1" applyBorder="1" applyAlignment="1">
      <alignment horizontal="center" vertical="center"/>
    </xf>
    <xf numFmtId="0" fontId="5" fillId="0" borderId="0" xfId="3" applyFont="1"/>
    <xf numFmtId="166" fontId="4" fillId="0" borderId="1" xfId="0" applyNumberFormat="1" applyFont="1" applyFill="1" applyBorder="1" applyAlignment="1">
      <alignment horizontal="center"/>
    </xf>
    <xf numFmtId="166" fontId="0" fillId="0" borderId="1" xfId="1" applyNumberFormat="1" applyFont="1" applyBorder="1"/>
    <xf numFmtId="0" fontId="0" fillId="2" borderId="1" xfId="0" applyFill="1" applyBorder="1" applyAlignment="1">
      <alignment horizontal="center"/>
    </xf>
    <xf numFmtId="0" fontId="25" fillId="2" borderId="1" xfId="0" applyFont="1" applyFill="1" applyBorder="1" applyAlignment="1">
      <alignment horizontal="center"/>
    </xf>
    <xf numFmtId="0" fontId="4" fillId="0" borderId="0" xfId="3" applyFont="1"/>
    <xf numFmtId="166" fontId="22" fillId="0" borderId="0" xfId="3" applyNumberFormat="1" applyFont="1"/>
    <xf numFmtId="167" fontId="22" fillId="0" borderId="0" xfId="0" applyNumberFormat="1" applyFont="1"/>
    <xf numFmtId="166" fontId="22" fillId="0" borderId="0" xfId="0" applyNumberFormat="1" applyFont="1"/>
    <xf numFmtId="0" fontId="0" fillId="0" borderId="0" xfId="0" applyAlignment="1">
      <alignment horizontal="center"/>
    </xf>
    <xf numFmtId="0" fontId="23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170" fontId="0" fillId="0" borderId="0" xfId="0" applyNumberFormat="1"/>
    <xf numFmtId="0" fontId="12" fillId="0" borderId="2" xfId="0" applyFont="1" applyBorder="1" applyAlignment="1">
      <alignment horizontal="left"/>
    </xf>
    <xf numFmtId="0" fontId="12" fillId="0" borderId="4" xfId="0" applyFont="1" applyBorder="1" applyAlignment="1">
      <alignment horizontal="left"/>
    </xf>
    <xf numFmtId="0" fontId="12" fillId="0" borderId="3" xfId="0" applyFont="1" applyBorder="1" applyAlignment="1">
      <alignment horizontal="left"/>
    </xf>
    <xf numFmtId="0" fontId="3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166" fontId="29" fillId="4" borderId="1" xfId="0" applyNumberFormat="1" applyFont="1" applyFill="1" applyBorder="1" applyAlignment="1">
      <alignment horizontal="center"/>
    </xf>
    <xf numFmtId="166" fontId="29" fillId="4" borderId="1" xfId="0" applyNumberFormat="1" applyFont="1" applyFill="1" applyBorder="1"/>
    <xf numFmtId="166" fontId="29" fillId="0" borderId="1" xfId="0" applyNumberFormat="1" applyFont="1" applyFill="1" applyBorder="1" applyAlignment="1">
      <alignment horizontal="center"/>
    </xf>
    <xf numFmtId="0" fontId="25" fillId="6" borderId="1" xfId="0" applyFont="1" applyFill="1" applyBorder="1" applyAlignment="1">
      <alignment horizontal="center"/>
    </xf>
    <xf numFmtId="0" fontId="0" fillId="0" borderId="6" xfId="0" applyFont="1" applyBorder="1" applyAlignment="1">
      <alignment horizontal="center"/>
    </xf>
    <xf numFmtId="0" fontId="18" fillId="0" borderId="0" xfId="0" applyFont="1" applyBorder="1" applyAlignment="1">
      <alignment horizontal="left" vertical="top"/>
    </xf>
    <xf numFmtId="0" fontId="0" fillId="0" borderId="0" xfId="0" applyAlignment="1">
      <alignment horizontal="right" vertical="top"/>
    </xf>
    <xf numFmtId="0" fontId="8" fillId="6" borderId="1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0" fontId="9" fillId="0" borderId="1" xfId="0" applyFont="1" applyBorder="1" applyAlignment="1">
      <alignment horizontal="center"/>
    </xf>
    <xf numFmtId="0" fontId="0" fillId="0" borderId="0" xfId="0" applyAlignment="1">
      <alignment horizontal="center"/>
    </xf>
    <xf numFmtId="168" fontId="0" fillId="0" borderId="1" xfId="1" applyNumberFormat="1" applyFont="1" applyBorder="1" applyAlignment="1">
      <alignment horizontal="center"/>
    </xf>
    <xf numFmtId="168" fontId="10" fillId="0" borderId="1" xfId="0" applyNumberFormat="1" applyFont="1" applyBorder="1" applyAlignment="1">
      <alignment horizontal="center"/>
    </xf>
    <xf numFmtId="168" fontId="2" fillId="0" borderId="1" xfId="1" applyNumberFormat="1" applyFont="1" applyBorder="1" applyAlignment="1">
      <alignment horizontal="center" wrapText="1"/>
    </xf>
    <xf numFmtId="0" fontId="30" fillId="0" borderId="0" xfId="3" applyNumberFormat="1" applyFont="1"/>
    <xf numFmtId="168" fontId="0" fillId="0" borderId="0" xfId="0" applyNumberFormat="1"/>
    <xf numFmtId="0" fontId="30" fillId="0" borderId="0" xfId="3" applyNumberFormat="1" applyFont="1" applyAlignment="1">
      <alignment horizontal="center"/>
    </xf>
    <xf numFmtId="0" fontId="1" fillId="0" borderId="0" xfId="0" applyFont="1"/>
    <xf numFmtId="9" fontId="1" fillId="0" borderId="0" xfId="1" applyFont="1" applyAlignment="1">
      <alignment horizontal="center"/>
    </xf>
    <xf numFmtId="168" fontId="1" fillId="0" borderId="0" xfId="0" applyNumberFormat="1" applyFont="1" applyAlignment="1">
      <alignment horizontal="center"/>
    </xf>
    <xf numFmtId="171" fontId="4" fillId="0" borderId="1" xfId="1" applyNumberFormat="1" applyFont="1" applyFill="1" applyBorder="1" applyAlignment="1">
      <alignment horizontal="center"/>
    </xf>
    <xf numFmtId="170" fontId="4" fillId="0" borderId="1" xfId="0" applyNumberFormat="1" applyFont="1" applyFill="1" applyBorder="1"/>
    <xf numFmtId="170" fontId="0" fillId="0" borderId="1" xfId="0" applyNumberFormat="1" applyFont="1" applyFill="1" applyBorder="1"/>
    <xf numFmtId="170" fontId="9" fillId="0" borderId="1" xfId="0" applyNumberFormat="1" applyFont="1" applyFill="1" applyBorder="1"/>
    <xf numFmtId="0" fontId="8" fillId="4" borderId="1" xfId="0" applyFont="1" applyFill="1" applyBorder="1" applyAlignment="1">
      <alignment horizontal="right"/>
    </xf>
    <xf numFmtId="0" fontId="29" fillId="4" borderId="1" xfId="3" applyFont="1" applyFill="1" applyBorder="1" applyAlignment="1">
      <alignment horizontal="right"/>
    </xf>
    <xf numFmtId="0" fontId="29" fillId="4" borderId="1" xfId="0" applyFont="1" applyFill="1" applyBorder="1" applyAlignment="1">
      <alignment horizontal="right"/>
    </xf>
    <xf numFmtId="0" fontId="29" fillId="4" borderId="1" xfId="1" applyNumberFormat="1" applyFont="1" applyFill="1" applyBorder="1" applyAlignment="1">
      <alignment horizontal="right"/>
    </xf>
    <xf numFmtId="0" fontId="9" fillId="11" borderId="1" xfId="0" applyFont="1" applyFill="1" applyBorder="1" applyAlignment="1">
      <alignment horizontal="center"/>
    </xf>
    <xf numFmtId="0" fontId="9" fillId="12" borderId="1" xfId="0" applyFont="1" applyFill="1" applyBorder="1" applyAlignment="1">
      <alignment horizontal="center"/>
    </xf>
    <xf numFmtId="0" fontId="9" fillId="13" borderId="1" xfId="0" applyFont="1" applyFill="1" applyBorder="1" applyAlignment="1">
      <alignment horizontal="center"/>
    </xf>
    <xf numFmtId="0" fontId="9" fillId="14" borderId="1" xfId="0" applyFont="1" applyFill="1" applyBorder="1" applyAlignment="1">
      <alignment horizontal="center"/>
    </xf>
    <xf numFmtId="0" fontId="9" fillId="15" borderId="1" xfId="0" applyFont="1" applyFill="1" applyBorder="1" applyAlignment="1">
      <alignment horizontal="center"/>
    </xf>
    <xf numFmtId="0" fontId="9" fillId="5" borderId="1" xfId="0" applyFont="1" applyFill="1" applyBorder="1" applyAlignment="1">
      <alignment horizontal="center"/>
    </xf>
    <xf numFmtId="166" fontId="0" fillId="2" borderId="0" xfId="0" applyNumberFormat="1" applyFill="1" applyAlignment="1">
      <alignment horizontal="center"/>
    </xf>
    <xf numFmtId="166" fontId="0" fillId="2" borderId="1" xfId="0" applyNumberFormat="1" applyFill="1" applyBorder="1"/>
    <xf numFmtId="0" fontId="29" fillId="4" borderId="1" xfId="0" applyNumberFormat="1" applyFont="1" applyFill="1" applyBorder="1" applyAlignment="1">
      <alignment horizontal="right"/>
    </xf>
    <xf numFmtId="0" fontId="9" fillId="0" borderId="1" xfId="0" applyFont="1" applyFill="1" applyBorder="1" applyAlignment="1">
      <alignment horizontal="center"/>
    </xf>
    <xf numFmtId="0" fontId="0" fillId="0" borderId="1" xfId="0" applyFill="1" applyBorder="1"/>
    <xf numFmtId="3" fontId="0" fillId="0" borderId="1" xfId="0" applyNumberFormat="1" applyFill="1" applyBorder="1"/>
    <xf numFmtId="0" fontId="4" fillId="0" borderId="2" xfId="0" applyFont="1" applyBorder="1" applyAlignment="1"/>
    <xf numFmtId="0" fontId="4" fillId="0" borderId="4" xfId="0" applyFont="1" applyBorder="1" applyAlignment="1"/>
    <xf numFmtId="0" fontId="4" fillId="0" borderId="3" xfId="0" applyFont="1" applyBorder="1" applyAlignment="1"/>
    <xf numFmtId="2" fontId="9" fillId="0" borderId="1" xfId="0" applyNumberFormat="1" applyFont="1" applyBorder="1" applyAlignment="1">
      <alignment horizontal="center"/>
    </xf>
    <xf numFmtId="0" fontId="16" fillId="0" borderId="0" xfId="0" applyFont="1" applyFill="1" applyBorder="1" applyAlignment="1">
      <alignment horizontal="left" vertical="top" wrapText="1"/>
    </xf>
    <xf numFmtId="0" fontId="12" fillId="0" borderId="1" xfId="0" applyFont="1" applyBorder="1" applyAlignment="1"/>
    <xf numFmtId="0" fontId="3" fillId="0" borderId="1" xfId="0" applyFont="1" applyBorder="1" applyAlignment="1">
      <alignment horizontal="center"/>
    </xf>
    <xf numFmtId="0" fontId="12" fillId="0" borderId="2" xfId="0" applyFont="1" applyBorder="1" applyAlignment="1">
      <alignment horizontal="left"/>
    </xf>
    <xf numFmtId="0" fontId="12" fillId="0" borderId="4" xfId="0" applyFont="1" applyBorder="1" applyAlignment="1">
      <alignment horizontal="left"/>
    </xf>
    <xf numFmtId="0" fontId="12" fillId="0" borderId="3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13" fillId="0" borderId="0" xfId="0" applyFont="1" applyFill="1" applyBorder="1" applyAlignment="1">
      <alignment horizontal="center"/>
    </xf>
    <xf numFmtId="0" fontId="10" fillId="0" borderId="1" xfId="0" applyFont="1" applyFill="1" applyBorder="1" applyAlignment="1">
      <alignment horizontal="center"/>
    </xf>
    <xf numFmtId="0" fontId="3" fillId="0" borderId="5" xfId="0" applyFont="1" applyBorder="1" applyAlignment="1">
      <alignment horizontal="center" vertical="center"/>
    </xf>
    <xf numFmtId="0" fontId="3" fillId="0" borderId="6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3" fillId="0" borderId="5" xfId="0" applyFont="1" applyBorder="1" applyAlignment="1">
      <alignment horizontal="center"/>
    </xf>
    <xf numFmtId="0" fontId="3" fillId="0" borderId="6" xfId="0" applyFont="1" applyBorder="1" applyAlignment="1">
      <alignment horizontal="center"/>
    </xf>
    <xf numFmtId="0" fontId="12" fillId="0" borderId="0" xfId="0" applyFont="1" applyBorder="1" applyAlignment="1">
      <alignment horizontal="left"/>
    </xf>
    <xf numFmtId="0" fontId="22" fillId="0" borderId="1" xfId="0" applyFont="1" applyBorder="1" applyAlignment="1">
      <alignment horizontal="left"/>
    </xf>
    <xf numFmtId="0" fontId="22" fillId="0" borderId="1" xfId="0" applyFont="1" applyFill="1" applyBorder="1" applyAlignment="1">
      <alignment horizontal="left"/>
    </xf>
    <xf numFmtId="0" fontId="23" fillId="0" borderId="1" xfId="0" applyFont="1" applyBorder="1" applyAlignment="1">
      <alignment horizontal="left"/>
    </xf>
    <xf numFmtId="0" fontId="0" fillId="0" borderId="1" xfId="0" applyBorder="1" applyAlignment="1">
      <alignment horizontal="center" wrapText="1"/>
    </xf>
    <xf numFmtId="0" fontId="3" fillId="0" borderId="5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0" fillId="5" borderId="2" xfId="0" applyFill="1" applyBorder="1" applyAlignment="1">
      <alignment horizontal="center"/>
    </xf>
    <xf numFmtId="0" fontId="0" fillId="5" borderId="4" xfId="0" applyFill="1" applyBorder="1" applyAlignment="1">
      <alignment horizontal="center"/>
    </xf>
    <xf numFmtId="0" fontId="0" fillId="5" borderId="3" xfId="0" applyFill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2" xfId="0" applyFont="1" applyFill="1" applyBorder="1" applyAlignment="1">
      <alignment horizontal="center"/>
    </xf>
    <xf numFmtId="0" fontId="3" fillId="0" borderId="4" xfId="0" applyFont="1" applyFill="1" applyBorder="1" applyAlignment="1">
      <alignment horizontal="center"/>
    </xf>
    <xf numFmtId="0" fontId="3" fillId="0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33" fillId="0" borderId="0" xfId="0" applyFont="1"/>
  </cellXfs>
  <cellStyles count="4">
    <cellStyle name="Hipervínculo" xfId="3" builtinId="8"/>
    <cellStyle name="Moneda" xfId="2" builtinId="4"/>
    <cellStyle name="Normal" xfId="0" builtinId="0"/>
    <cellStyle name="Porcentaje" xfId="1" builtinId="5"/>
  </cellStyles>
  <dxfs count="9"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784860</xdr:colOff>
      <xdr:row>4</xdr:row>
      <xdr:rowOff>121920</xdr:rowOff>
    </xdr:from>
    <xdr:to>
      <xdr:col>8</xdr:col>
      <xdr:colOff>728125</xdr:colOff>
      <xdr:row>17</xdr:row>
      <xdr:rowOff>38100</xdr:rowOff>
    </xdr:to>
    <xdr:pic>
      <xdr:nvPicPr>
        <xdr:cNvPr id="9" name="Imagen 8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1794" t="31066" r="12880" b="34088"/>
        <a:stretch/>
      </xdr:blipFill>
      <xdr:spPr>
        <a:xfrm>
          <a:off x="784860" y="853440"/>
          <a:ext cx="8826529" cy="22936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://imt.mx/resumen-boletines.html?IdArticulo=422&amp;IdBoletin=158" TargetMode="External"/><Relationship Id="rId3" Type="http://schemas.openxmlformats.org/officeDocument/2006/relationships/hyperlink" Target="http://imt.mx/archivos/Publicaciones/PublicacionTecnica/pt471.pdf" TargetMode="External"/><Relationship Id="rId7" Type="http://schemas.openxmlformats.org/officeDocument/2006/relationships/hyperlink" Target="http://www.arconorte.com.mx/recorridos/" TargetMode="External"/><Relationship Id="rId12" Type="http://schemas.openxmlformats.org/officeDocument/2006/relationships/drawing" Target="../drawings/drawing1.xml"/><Relationship Id="rId2" Type="http://schemas.openxmlformats.org/officeDocument/2006/relationships/hyperlink" Target="http://imt.mx/archivos/Publicaciones/PublicacionTecnica/pt339.pdf" TargetMode="External"/><Relationship Id="rId1" Type="http://schemas.openxmlformats.org/officeDocument/2006/relationships/hyperlink" Target="http://www.sct.gob.mx/fileadmin/DireccionesGrales/DGST/O-D-2013/ZONA-2/7.6.-_SAN_SEBASTIAN.pdf" TargetMode="External"/><Relationship Id="rId6" Type="http://schemas.openxmlformats.org/officeDocument/2006/relationships/hyperlink" Target="http://www.sct.gob.mx/fileadmin/DireccionesGrales/DGST/Datos-Viales-2016/15_MEXICO.pdf" TargetMode="External"/><Relationship Id="rId11" Type="http://schemas.openxmlformats.org/officeDocument/2006/relationships/printerSettings" Target="../printerSettings/printerSettings3.bin"/><Relationship Id="rId5" Type="http://schemas.openxmlformats.org/officeDocument/2006/relationships/hyperlink" Target="http://imt.mx/archivos/Publicaciones/PublicacionTecnica/pt471.pdf" TargetMode="External"/><Relationship Id="rId10" Type="http://schemas.openxmlformats.org/officeDocument/2006/relationships/hyperlink" Target="http://imt.mx/archivos/Publicaciones/PublicacionTecnica/pt471.pdf" TargetMode="External"/><Relationship Id="rId4" Type="http://schemas.openxmlformats.org/officeDocument/2006/relationships/hyperlink" Target="http://imt.mx/archivos/Publicaciones/PublicacionTecnica/pt471.pdf" TargetMode="External"/><Relationship Id="rId9" Type="http://schemas.openxmlformats.org/officeDocument/2006/relationships/hyperlink" Target="http://www.sct.gob.mx/fileadmin/DireccionesGrales/DGST/Datos-Viales-2016/15_MEXICO.pdf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://imt.mx/resumen-boletines.html?IdArticulo=422&amp;IdBoletin=158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http://imt.mx/resumen-boletines.html?IdArticulo=422&amp;IdBoletin=158" TargetMode="Externa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://imt.mx/archivos/Publicaciones/DocumentoTecnico/dt66.pdf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E17"/>
  <sheetViews>
    <sheetView workbookViewId="0">
      <selection activeCell="A17" sqref="A17"/>
    </sheetView>
  </sheetViews>
  <sheetFormatPr baseColWidth="10" defaultRowHeight="15" x14ac:dyDescent="0.25"/>
  <sheetData>
    <row r="1" spans="1:5" x14ac:dyDescent="0.25">
      <c r="A1" t="s">
        <v>217</v>
      </c>
      <c r="C1" t="s">
        <v>218</v>
      </c>
    </row>
    <row r="2" spans="1:5" x14ac:dyDescent="0.25">
      <c r="A2" t="s">
        <v>127</v>
      </c>
      <c r="C2">
        <v>2</v>
      </c>
      <c r="D2" s="58">
        <v>2</v>
      </c>
      <c r="E2" s="58" t="s">
        <v>222</v>
      </c>
    </row>
    <row r="3" spans="1:5" x14ac:dyDescent="0.25">
      <c r="A3" t="s">
        <v>128</v>
      </c>
      <c r="C3">
        <v>4</v>
      </c>
      <c r="D3" s="58">
        <v>4</v>
      </c>
      <c r="E3" s="58" t="s">
        <v>220</v>
      </c>
    </row>
    <row r="4" spans="1:5" x14ac:dyDescent="0.25">
      <c r="A4" t="s">
        <v>129</v>
      </c>
      <c r="C4">
        <v>6</v>
      </c>
      <c r="D4" s="58">
        <v>6</v>
      </c>
      <c r="E4" s="58" t="s">
        <v>221</v>
      </c>
    </row>
    <row r="5" spans="1:5" x14ac:dyDescent="0.25">
      <c r="C5">
        <v>8</v>
      </c>
      <c r="D5" s="58">
        <v>8</v>
      </c>
      <c r="E5" s="58" t="s">
        <v>223</v>
      </c>
    </row>
    <row r="6" spans="1:5" x14ac:dyDescent="0.25">
      <c r="C6">
        <v>10</v>
      </c>
      <c r="D6" s="58">
        <v>10</v>
      </c>
      <c r="E6" s="58" t="s">
        <v>224</v>
      </c>
    </row>
    <row r="7" spans="1:5" x14ac:dyDescent="0.25">
      <c r="C7">
        <v>12</v>
      </c>
      <c r="D7" s="58">
        <v>12</v>
      </c>
      <c r="E7" s="58" t="s">
        <v>225</v>
      </c>
    </row>
    <row r="9" spans="1:5" x14ac:dyDescent="0.25">
      <c r="A9" t="s">
        <v>245</v>
      </c>
      <c r="C9" t="s">
        <v>348</v>
      </c>
    </row>
    <row r="10" spans="1:5" x14ac:dyDescent="0.25">
      <c r="A10" s="5">
        <v>1</v>
      </c>
      <c r="C10" t="s">
        <v>395</v>
      </c>
    </row>
    <row r="11" spans="1:5" x14ac:dyDescent="0.25">
      <c r="A11" s="5">
        <v>2</v>
      </c>
      <c r="C11" t="s">
        <v>396</v>
      </c>
    </row>
    <row r="12" spans="1:5" x14ac:dyDescent="0.25">
      <c r="A12" s="5">
        <v>3</v>
      </c>
      <c r="C12" t="s">
        <v>397</v>
      </c>
    </row>
    <row r="13" spans="1:5" x14ac:dyDescent="0.25">
      <c r="A13" s="5">
        <v>4</v>
      </c>
      <c r="C13" t="s">
        <v>398</v>
      </c>
    </row>
    <row r="14" spans="1:5" x14ac:dyDescent="0.25">
      <c r="A14" s="5">
        <v>5</v>
      </c>
      <c r="C14" t="s">
        <v>401</v>
      </c>
    </row>
    <row r="15" spans="1:5" x14ac:dyDescent="0.25">
      <c r="A15" s="5">
        <v>6</v>
      </c>
      <c r="C15" t="s">
        <v>399</v>
      </c>
    </row>
    <row r="16" spans="1:5" x14ac:dyDescent="0.25">
      <c r="A16" s="5">
        <v>7</v>
      </c>
      <c r="C16" t="s">
        <v>400</v>
      </c>
    </row>
    <row r="17" spans="1:3" x14ac:dyDescent="0.25">
      <c r="A17" t="s">
        <v>246</v>
      </c>
      <c r="C17" t="s">
        <v>402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P810"/>
  <sheetViews>
    <sheetView tabSelected="1" topLeftCell="A61" zoomScaleNormal="100" workbookViewId="0">
      <pane xSplit="15975" ySplit="6300" topLeftCell="J65"/>
      <selection activeCell="B67" sqref="B67"/>
      <selection pane="topRight" activeCell="J12" sqref="J12"/>
      <selection pane="bottomLeft" activeCell="B65" sqref="B65"/>
      <selection pane="bottomRight" activeCell="J21" sqref="J21"/>
    </sheetView>
  </sheetViews>
  <sheetFormatPr baseColWidth="10" defaultRowHeight="15" x14ac:dyDescent="0.25"/>
  <cols>
    <col min="2" max="2" width="16" customWidth="1"/>
    <col min="3" max="9" width="17.28515625" customWidth="1"/>
    <col min="10" max="10" width="16" customWidth="1"/>
  </cols>
  <sheetData>
    <row r="1" spans="1:9" x14ac:dyDescent="0.25">
      <c r="A1">
        <v>1</v>
      </c>
    </row>
    <row r="2" spans="1:9" x14ac:dyDescent="0.25">
      <c r="B2" s="13" t="s">
        <v>541</v>
      </c>
    </row>
    <row r="3" spans="1:9" x14ac:dyDescent="0.25">
      <c r="B3" s="13"/>
    </row>
    <row r="4" spans="1:9" x14ac:dyDescent="0.25">
      <c r="B4" s="13" t="s">
        <v>520</v>
      </c>
    </row>
    <row r="5" spans="1:9" x14ac:dyDescent="0.25">
      <c r="B5" s="13"/>
    </row>
    <row r="6" spans="1:9" x14ac:dyDescent="0.25">
      <c r="B6" s="78" t="s">
        <v>141</v>
      </c>
      <c r="C6" s="285">
        <v>1</v>
      </c>
      <c r="D6" s="285">
        <v>2</v>
      </c>
      <c r="E6" s="285">
        <v>3</v>
      </c>
      <c r="F6" s="285">
        <v>4</v>
      </c>
      <c r="G6" s="285">
        <v>5</v>
      </c>
      <c r="H6" s="285">
        <v>6</v>
      </c>
      <c r="I6" s="285">
        <v>7</v>
      </c>
    </row>
    <row r="7" spans="1:9" x14ac:dyDescent="0.25">
      <c r="B7" s="78" t="s">
        <v>170</v>
      </c>
      <c r="C7" s="190" t="s">
        <v>248</v>
      </c>
      <c r="D7" s="190" t="s">
        <v>247</v>
      </c>
      <c r="E7" s="190" t="s">
        <v>352</v>
      </c>
      <c r="F7" s="190" t="s">
        <v>249</v>
      </c>
      <c r="G7" s="190" t="s">
        <v>256</v>
      </c>
      <c r="H7" s="190" t="s">
        <v>353</v>
      </c>
      <c r="I7" s="190" t="s">
        <v>250</v>
      </c>
    </row>
    <row r="8" spans="1:9" x14ac:dyDescent="0.25">
      <c r="B8" s="78" t="s">
        <v>236</v>
      </c>
      <c r="C8" s="123">
        <v>45400</v>
      </c>
      <c r="D8" s="123">
        <v>23300</v>
      </c>
      <c r="E8" s="123">
        <v>23300</v>
      </c>
      <c r="F8" s="123">
        <v>53900</v>
      </c>
      <c r="G8" s="123">
        <v>83100</v>
      </c>
      <c r="H8" s="123">
        <v>39100</v>
      </c>
      <c r="I8" s="123">
        <v>67200</v>
      </c>
    </row>
    <row r="9" spans="1:9" x14ac:dyDescent="0.25">
      <c r="B9" s="78" t="s">
        <v>110</v>
      </c>
      <c r="C9" s="191" t="s">
        <v>128</v>
      </c>
      <c r="D9" s="191" t="s">
        <v>129</v>
      </c>
      <c r="E9" s="191" t="s">
        <v>129</v>
      </c>
      <c r="F9" s="191" t="s">
        <v>129</v>
      </c>
      <c r="G9" s="191" t="s">
        <v>128</v>
      </c>
      <c r="H9" s="191" t="s">
        <v>128</v>
      </c>
      <c r="I9" s="191" t="s">
        <v>128</v>
      </c>
    </row>
    <row r="10" spans="1:9" x14ac:dyDescent="0.25">
      <c r="B10" s="78" t="s">
        <v>125</v>
      </c>
      <c r="C10" s="191">
        <v>4</v>
      </c>
      <c r="D10" s="191">
        <v>6</v>
      </c>
      <c r="E10" s="191">
        <v>4</v>
      </c>
      <c r="F10" s="191">
        <v>4</v>
      </c>
      <c r="G10" s="191">
        <v>8</v>
      </c>
      <c r="H10" s="191">
        <v>4</v>
      </c>
      <c r="I10" s="191">
        <v>2</v>
      </c>
    </row>
    <row r="11" spans="1:9" x14ac:dyDescent="0.25">
      <c r="B11" s="78" t="s">
        <v>348</v>
      </c>
      <c r="C11" s="191" t="s">
        <v>401</v>
      </c>
      <c r="D11" s="191" t="s">
        <v>396</v>
      </c>
      <c r="E11" s="191" t="s">
        <v>401</v>
      </c>
      <c r="F11" s="191" t="s">
        <v>397</v>
      </c>
      <c r="G11" s="191" t="s">
        <v>401</v>
      </c>
      <c r="H11" s="191" t="s">
        <v>401</v>
      </c>
      <c r="I11" s="191" t="s">
        <v>402</v>
      </c>
    </row>
    <row r="12" spans="1:9" x14ac:dyDescent="0.25">
      <c r="B12" s="336" t="s">
        <v>528</v>
      </c>
      <c r="C12" s="336"/>
      <c r="D12" s="336"/>
      <c r="E12" s="336"/>
      <c r="F12" s="336"/>
      <c r="G12" s="336"/>
      <c r="H12" s="336"/>
      <c r="I12" s="336"/>
    </row>
    <row r="13" spans="1:9" x14ac:dyDescent="0.25">
      <c r="B13" s="285" t="s">
        <v>69</v>
      </c>
      <c r="C13" s="188">
        <f>TDPA!J9</f>
        <v>0.79749999999999999</v>
      </c>
      <c r="D13" s="188">
        <f>TDPA!J26</f>
        <v>0.82350000000000001</v>
      </c>
      <c r="E13" s="188">
        <f>TDPA!J43</f>
        <v>0.63500000000000001</v>
      </c>
      <c r="F13" s="188">
        <f>TDPA!J60</f>
        <v>0.77299999999999991</v>
      </c>
      <c r="G13" s="188">
        <f>TDPA!J77</f>
        <v>0.81200000000000006</v>
      </c>
      <c r="H13" s="188">
        <f>TDPA!J94</f>
        <v>0.63700000000000001</v>
      </c>
      <c r="I13" s="188">
        <f>TDPA!G111</f>
        <v>0.68299999999999994</v>
      </c>
    </row>
    <row r="14" spans="1:9" x14ac:dyDescent="0.25">
      <c r="B14" s="285" t="s">
        <v>70</v>
      </c>
      <c r="C14" s="188">
        <f>TDPA!J10</f>
        <v>0.04</v>
      </c>
      <c r="D14" s="188">
        <f>TDPA!J27</f>
        <v>2.5500000000000002E-2</v>
      </c>
      <c r="E14" s="188">
        <f>TDPA!J44</f>
        <v>3.15E-2</v>
      </c>
      <c r="F14" s="188">
        <f>TDPA!J61</f>
        <v>3.6500000000000005E-2</v>
      </c>
      <c r="G14" s="188">
        <f>TDPA!J78</f>
        <v>4.4000000000000004E-2</v>
      </c>
      <c r="H14" s="188">
        <f>TDPA!J95</f>
        <v>3.6000000000000004E-2</v>
      </c>
      <c r="I14" s="188">
        <f>TDPA!G112</f>
        <v>5.2000000000000005E-2</v>
      </c>
    </row>
    <row r="15" spans="1:9" x14ac:dyDescent="0.25">
      <c r="B15" s="285" t="s">
        <v>29</v>
      </c>
      <c r="C15" s="188">
        <f>TDPA!J11</f>
        <v>7.2500000000000009E-2</v>
      </c>
      <c r="D15" s="188">
        <f>TDPA!J28</f>
        <v>6.7000000000000004E-2</v>
      </c>
      <c r="E15" s="188">
        <f>TDPA!J45</f>
        <v>7.5500000000000012E-2</v>
      </c>
      <c r="F15" s="188">
        <f>TDPA!J62</f>
        <v>7.1000000000000008E-2</v>
      </c>
      <c r="G15" s="188">
        <f>TDPA!J79</f>
        <v>6.4000000000000001E-2</v>
      </c>
      <c r="H15" s="188">
        <f>TDPA!J96</f>
        <v>7.0500000000000007E-2</v>
      </c>
      <c r="I15" s="188">
        <f>TDPA!G113</f>
        <v>0.06</v>
      </c>
    </row>
    <row r="16" spans="1:9" x14ac:dyDescent="0.25">
      <c r="B16" s="285" t="s">
        <v>71</v>
      </c>
      <c r="C16" s="188">
        <f>TDPA!J12</f>
        <v>1.8500000000000003E-2</v>
      </c>
      <c r="D16" s="188">
        <f>TDPA!J29</f>
        <v>0.02</v>
      </c>
      <c r="E16" s="188">
        <f>TDPA!J46</f>
        <v>3.0000000000000002E-2</v>
      </c>
      <c r="F16" s="188">
        <f>TDPA!J63</f>
        <v>2.4E-2</v>
      </c>
      <c r="G16" s="188">
        <f>TDPA!J80</f>
        <v>2.3E-2</v>
      </c>
      <c r="H16" s="188">
        <f>TDPA!J97</f>
        <v>2.9500000000000002E-2</v>
      </c>
      <c r="I16" s="188">
        <f>TDPA!G114</f>
        <v>3.3000000000000002E-2</v>
      </c>
    </row>
    <row r="17" spans="2:9" x14ac:dyDescent="0.25">
      <c r="B17" s="285" t="s">
        <v>72</v>
      </c>
      <c r="C17" s="188">
        <f>TDPA!J13</f>
        <v>4.2999999999999997E-2</v>
      </c>
      <c r="D17" s="188">
        <f>TDPA!J30</f>
        <v>3.5000000000000003E-2</v>
      </c>
      <c r="E17" s="188">
        <f>TDPA!J47</f>
        <v>0.16599999999999998</v>
      </c>
      <c r="F17" s="188">
        <f>TDPA!J64</f>
        <v>6.7000000000000004E-2</v>
      </c>
      <c r="G17" s="188">
        <f>TDPA!J81</f>
        <v>3.6000000000000004E-2</v>
      </c>
      <c r="H17" s="188">
        <f>TDPA!J98</f>
        <v>0.16249999999999998</v>
      </c>
      <c r="I17" s="188">
        <f>TDPA!G115</f>
        <v>9.6999999999999989E-2</v>
      </c>
    </row>
    <row r="18" spans="2:9" x14ac:dyDescent="0.25">
      <c r="B18" s="285" t="s">
        <v>73</v>
      </c>
      <c r="C18" s="188">
        <f>TDPA!J14</f>
        <v>1.55E-2</v>
      </c>
      <c r="D18" s="188">
        <f>TDPA!J31</f>
        <v>1.2999999999999999E-2</v>
      </c>
      <c r="E18" s="188">
        <f>TDPA!J48</f>
        <v>3.8500000000000006E-2</v>
      </c>
      <c r="F18" s="188">
        <f>TDPA!J65</f>
        <v>1.8000000000000002E-2</v>
      </c>
      <c r="G18" s="188">
        <f>TDPA!J82</f>
        <v>1.1000000000000001E-2</v>
      </c>
      <c r="H18" s="188">
        <f>TDPA!J99</f>
        <v>3.5500000000000004E-2</v>
      </c>
      <c r="I18" s="188">
        <f>TDPA!G116</f>
        <v>0.04</v>
      </c>
    </row>
    <row r="19" spans="2:9" x14ac:dyDescent="0.25">
      <c r="B19" s="285" t="s">
        <v>74</v>
      </c>
      <c r="C19" s="188">
        <f>TDPA!J15</f>
        <v>1.0999999999999999E-2</v>
      </c>
      <c r="D19" s="188">
        <f>TDPA!J32</f>
        <v>1.2500000000000001E-2</v>
      </c>
      <c r="E19" s="188">
        <f>TDPA!J49</f>
        <v>1.4999999999999999E-2</v>
      </c>
      <c r="F19" s="188">
        <f>TDPA!J66</f>
        <v>7.0000000000000001E-3</v>
      </c>
      <c r="G19" s="188">
        <f>TDPA!J83</f>
        <v>8.0000000000000002E-3</v>
      </c>
      <c r="H19" s="188">
        <f>TDPA!J100</f>
        <v>1.95E-2</v>
      </c>
      <c r="I19" s="188">
        <f>TDPA!G117</f>
        <v>3.1E-2</v>
      </c>
    </row>
    <row r="20" spans="2:9" x14ac:dyDescent="0.25">
      <c r="B20" s="285" t="s">
        <v>75</v>
      </c>
      <c r="C20" s="188">
        <f>TDPA!J16</f>
        <v>2.0000000000000018E-3</v>
      </c>
      <c r="D20" s="188">
        <f>TDPA!J33</f>
        <v>3.5000000000000586E-3</v>
      </c>
      <c r="E20" s="188">
        <f>TDPA!J50</f>
        <v>8.5000000000000631E-3</v>
      </c>
      <c r="F20" s="188">
        <f>TDPA!J67</f>
        <v>3.5000000000001696E-3</v>
      </c>
      <c r="G20" s="188">
        <f>TDPA!J84</f>
        <v>1.9999999999997797E-3</v>
      </c>
      <c r="H20" s="188">
        <f>TDPA!J101</f>
        <v>9.5000000000000639E-3</v>
      </c>
      <c r="I20" s="188">
        <f>TDPA!G118</f>
        <v>4.0000000000000036E-3</v>
      </c>
    </row>
    <row r="21" spans="2:9" x14ac:dyDescent="0.25">
      <c r="B21" s="285" t="s">
        <v>518</v>
      </c>
      <c r="C21" s="211">
        <f>TDPA!J7</f>
        <v>20554</v>
      </c>
      <c r="D21" s="211">
        <f>TDPA!J24</f>
        <v>8833.5</v>
      </c>
      <c r="E21" s="211">
        <f>TDPA!J41</f>
        <v>2635.5</v>
      </c>
      <c r="F21" s="211">
        <f>TDPA!J58</f>
        <v>5458.5</v>
      </c>
      <c r="G21" s="211">
        <f>TDPA!J76</f>
        <v>3910</v>
      </c>
      <c r="H21" s="211">
        <f>TDPA!J92</f>
        <v>2932</v>
      </c>
      <c r="I21" s="211">
        <f>TDPA!J109</f>
        <v>22745</v>
      </c>
    </row>
    <row r="22" spans="2:9" x14ac:dyDescent="0.25">
      <c r="B22" s="333" t="s">
        <v>529</v>
      </c>
      <c r="C22" s="333"/>
      <c r="D22" s="333"/>
      <c r="E22" s="333"/>
      <c r="F22" s="333"/>
      <c r="G22" s="333"/>
      <c r="H22" s="333"/>
      <c r="I22" s="333"/>
    </row>
    <row r="23" spans="2:9" x14ac:dyDescent="0.25">
      <c r="B23" s="234" t="s">
        <v>69</v>
      </c>
      <c r="C23" s="288">
        <v>68</v>
      </c>
      <c r="D23" s="289">
        <v>0</v>
      </c>
      <c r="E23" s="289">
        <v>25</v>
      </c>
      <c r="F23" s="289">
        <v>0</v>
      </c>
      <c r="G23" s="289">
        <f>C23/2</f>
        <v>34</v>
      </c>
      <c r="H23" s="289">
        <v>80</v>
      </c>
      <c r="I23" s="289">
        <v>77</v>
      </c>
    </row>
    <row r="24" spans="2:9" x14ac:dyDescent="0.25">
      <c r="B24" s="234" t="s">
        <v>70</v>
      </c>
      <c r="C24" s="288">
        <v>163</v>
      </c>
      <c r="D24" s="289">
        <v>0</v>
      </c>
      <c r="E24" s="289">
        <v>35</v>
      </c>
      <c r="F24" s="289">
        <v>0</v>
      </c>
      <c r="G24" s="289">
        <f t="shared" ref="G24:G29" si="0">C24/2</f>
        <v>81.5</v>
      </c>
      <c r="H24" s="289">
        <v>125</v>
      </c>
      <c r="I24" s="289">
        <v>154</v>
      </c>
    </row>
    <row r="25" spans="2:9" x14ac:dyDescent="0.25">
      <c r="B25" s="234" t="s">
        <v>29</v>
      </c>
      <c r="C25" s="288">
        <v>82</v>
      </c>
      <c r="D25" s="289">
        <v>0</v>
      </c>
      <c r="E25" s="289">
        <v>35</v>
      </c>
      <c r="F25" s="289">
        <v>0</v>
      </c>
      <c r="G25" s="289">
        <f t="shared" si="0"/>
        <v>41</v>
      </c>
      <c r="H25" s="289">
        <v>125</v>
      </c>
      <c r="I25" s="289">
        <v>154</v>
      </c>
    </row>
    <row r="26" spans="2:9" x14ac:dyDescent="0.25">
      <c r="B26" s="234" t="s">
        <v>71</v>
      </c>
      <c r="C26" s="288">
        <v>142</v>
      </c>
      <c r="D26" s="289">
        <v>0</v>
      </c>
      <c r="E26" s="289">
        <v>35</v>
      </c>
      <c r="F26" s="289">
        <v>0</v>
      </c>
      <c r="G26" s="289">
        <f t="shared" si="0"/>
        <v>71</v>
      </c>
      <c r="H26" s="289">
        <v>125</v>
      </c>
      <c r="I26" s="289">
        <v>154</v>
      </c>
    </row>
    <row r="27" spans="2:9" x14ac:dyDescent="0.25">
      <c r="B27" s="234" t="s">
        <v>72</v>
      </c>
      <c r="C27" s="288">
        <v>250</v>
      </c>
      <c r="D27" s="289">
        <v>0</v>
      </c>
      <c r="E27" s="289">
        <v>55</v>
      </c>
      <c r="F27" s="289">
        <v>0</v>
      </c>
      <c r="G27" s="289">
        <f t="shared" si="0"/>
        <v>125</v>
      </c>
      <c r="H27" s="289">
        <v>180</v>
      </c>
      <c r="I27" s="289">
        <v>301</v>
      </c>
    </row>
    <row r="28" spans="2:9" x14ac:dyDescent="0.25">
      <c r="B28" s="234" t="s">
        <v>73</v>
      </c>
      <c r="C28" s="288">
        <v>310</v>
      </c>
      <c r="D28" s="289">
        <v>0</v>
      </c>
      <c r="E28" s="289">
        <v>55</v>
      </c>
      <c r="F28" s="289">
        <v>0</v>
      </c>
      <c r="G28" s="289">
        <f t="shared" si="0"/>
        <v>155</v>
      </c>
      <c r="H28" s="289">
        <v>180</v>
      </c>
      <c r="I28" s="289">
        <v>436</v>
      </c>
    </row>
    <row r="29" spans="2:9" x14ac:dyDescent="0.25">
      <c r="B29" s="234" t="s">
        <v>74</v>
      </c>
      <c r="C29" s="288">
        <v>454</v>
      </c>
      <c r="D29" s="289">
        <v>0</v>
      </c>
      <c r="E29" s="289">
        <v>95</v>
      </c>
      <c r="F29" s="289">
        <v>0</v>
      </c>
      <c r="G29" s="289">
        <f t="shared" si="0"/>
        <v>227</v>
      </c>
      <c r="H29" s="289">
        <v>295</v>
      </c>
      <c r="I29" s="289">
        <v>436</v>
      </c>
    </row>
    <row r="30" spans="2:9" x14ac:dyDescent="0.25">
      <c r="B30" s="234" t="s">
        <v>75</v>
      </c>
      <c r="C30" s="288">
        <f>AVERAGE(C23:C29)</f>
        <v>209.85714285714286</v>
      </c>
      <c r="D30" s="288">
        <f t="shared" ref="D30:I30" si="1">AVERAGE(D23:D29)</f>
        <v>0</v>
      </c>
      <c r="E30" s="288">
        <f t="shared" si="1"/>
        <v>47.857142857142854</v>
      </c>
      <c r="F30" s="288">
        <f t="shared" si="1"/>
        <v>0</v>
      </c>
      <c r="G30" s="288">
        <f t="shared" si="1"/>
        <v>104.92857142857143</v>
      </c>
      <c r="H30" s="288">
        <f t="shared" si="1"/>
        <v>158.57142857142858</v>
      </c>
      <c r="I30" s="288">
        <f t="shared" si="1"/>
        <v>244.57142857142858</v>
      </c>
    </row>
    <row r="31" spans="2:9" x14ac:dyDescent="0.25">
      <c r="B31" s="48"/>
      <c r="C31" s="50"/>
      <c r="D31" s="88"/>
      <c r="E31" s="88"/>
      <c r="F31" s="88"/>
      <c r="G31" s="88"/>
      <c r="H31" s="88"/>
      <c r="I31" s="88"/>
    </row>
    <row r="32" spans="2:9" x14ac:dyDescent="0.25">
      <c r="B32" s="87" t="s">
        <v>521</v>
      </c>
      <c r="C32" s="88"/>
      <c r="D32" s="88"/>
      <c r="E32" s="88"/>
      <c r="F32" s="88"/>
      <c r="G32" s="88"/>
      <c r="H32" s="88"/>
      <c r="I32" s="88"/>
    </row>
    <row r="33" spans="2:9" x14ac:dyDescent="0.25">
      <c r="B33" s="87"/>
      <c r="C33" s="88"/>
      <c r="D33" s="88"/>
      <c r="E33" s="88"/>
      <c r="F33" s="88"/>
      <c r="G33" s="88"/>
      <c r="H33" s="88"/>
      <c r="I33" s="88"/>
    </row>
    <row r="34" spans="2:9" x14ac:dyDescent="0.25">
      <c r="B34" s="78" t="s">
        <v>286</v>
      </c>
      <c r="C34" s="285" t="s">
        <v>69</v>
      </c>
      <c r="D34" s="285" t="s">
        <v>237</v>
      </c>
      <c r="E34" s="285" t="s">
        <v>28</v>
      </c>
      <c r="F34" s="285" t="s">
        <v>238</v>
      </c>
      <c r="G34" s="224"/>
      <c r="H34" s="88"/>
    </row>
    <row r="35" spans="2:9" x14ac:dyDescent="0.25">
      <c r="B35" s="78" t="s">
        <v>239</v>
      </c>
      <c r="C35" s="295">
        <v>1</v>
      </c>
      <c r="D35" s="295">
        <v>2</v>
      </c>
      <c r="E35" s="295">
        <v>4</v>
      </c>
      <c r="F35" s="295" t="s">
        <v>246</v>
      </c>
      <c r="G35" s="32"/>
      <c r="H35" s="88"/>
    </row>
    <row r="36" spans="2:9" x14ac:dyDescent="0.25">
      <c r="B36" s="78" t="s">
        <v>241</v>
      </c>
      <c r="C36" s="211">
        <v>1</v>
      </c>
      <c r="D36" s="211">
        <v>2</v>
      </c>
      <c r="E36" s="211">
        <v>6</v>
      </c>
      <c r="F36" s="211">
        <v>7</v>
      </c>
      <c r="G36" s="32"/>
      <c r="H36" s="88"/>
    </row>
    <row r="37" spans="2:9" x14ac:dyDescent="0.25">
      <c r="B37" s="78" t="s">
        <v>240</v>
      </c>
      <c r="C37" s="211">
        <v>1</v>
      </c>
      <c r="D37" s="211">
        <v>3</v>
      </c>
      <c r="E37" s="211">
        <v>4</v>
      </c>
      <c r="F37" s="211" t="s">
        <v>246</v>
      </c>
      <c r="G37" s="32"/>
      <c r="H37" s="88"/>
    </row>
    <row r="38" spans="2:9" x14ac:dyDescent="0.25">
      <c r="B38" s="78" t="s">
        <v>242</v>
      </c>
      <c r="C38" s="211">
        <v>1</v>
      </c>
      <c r="D38" s="211">
        <v>3</v>
      </c>
      <c r="E38" s="211">
        <v>6</v>
      </c>
      <c r="F38" s="211">
        <v>7</v>
      </c>
      <c r="G38" s="32"/>
      <c r="H38" s="88"/>
    </row>
    <row r="39" spans="2:9" x14ac:dyDescent="0.25">
      <c r="B39" s="78" t="s">
        <v>243</v>
      </c>
      <c r="C39" s="211">
        <v>5</v>
      </c>
      <c r="D39" s="211">
        <v>6</v>
      </c>
      <c r="E39" s="211">
        <v>4</v>
      </c>
      <c r="F39" s="211" t="s">
        <v>246</v>
      </c>
      <c r="G39" s="32"/>
      <c r="H39" s="88"/>
    </row>
    <row r="40" spans="2:9" x14ac:dyDescent="0.25">
      <c r="B40" s="78" t="s">
        <v>244</v>
      </c>
      <c r="C40" s="211">
        <v>5</v>
      </c>
      <c r="D40" s="211">
        <v>7</v>
      </c>
      <c r="E40" s="211" t="s">
        <v>246</v>
      </c>
      <c r="F40" s="211" t="s">
        <v>246</v>
      </c>
      <c r="G40" s="32"/>
      <c r="H40" s="88"/>
    </row>
    <row r="41" spans="2:9" x14ac:dyDescent="0.25">
      <c r="B41" s="87"/>
      <c r="C41" s="88"/>
      <c r="D41" s="88"/>
      <c r="E41" s="88"/>
      <c r="F41" s="88"/>
      <c r="G41" s="88"/>
      <c r="H41" s="88"/>
      <c r="I41" s="88"/>
    </row>
    <row r="42" spans="2:9" x14ac:dyDescent="0.25">
      <c r="B42" s="18" t="s">
        <v>519</v>
      </c>
      <c r="C42" s="291">
        <f>TDPA!U19</f>
        <v>5458.5</v>
      </c>
      <c r="D42" s="294" t="s">
        <v>76</v>
      </c>
      <c r="E42" s="334" t="s">
        <v>517</v>
      </c>
      <c r="F42" s="334"/>
      <c r="G42" s="334"/>
      <c r="H42" s="334"/>
      <c r="I42" s="334"/>
    </row>
    <row r="43" spans="2:9" x14ac:dyDescent="0.25">
      <c r="B43" s="87"/>
      <c r="D43" s="293"/>
      <c r="E43" s="334"/>
      <c r="F43" s="334"/>
      <c r="G43" s="334"/>
      <c r="H43" s="334"/>
      <c r="I43" s="334"/>
    </row>
    <row r="44" spans="2:9" x14ac:dyDescent="0.25">
      <c r="B44" s="13" t="s">
        <v>522</v>
      </c>
    </row>
    <row r="46" spans="2:9" x14ac:dyDescent="0.25">
      <c r="B46" s="285" t="s">
        <v>19</v>
      </c>
      <c r="C46" s="285" t="s">
        <v>164</v>
      </c>
      <c r="D46" s="285" t="s">
        <v>165</v>
      </c>
      <c r="E46" s="340" t="s">
        <v>170</v>
      </c>
      <c r="F46" s="340"/>
      <c r="G46" s="340"/>
      <c r="H46" s="340"/>
      <c r="I46" s="340"/>
    </row>
    <row r="47" spans="2:9" x14ac:dyDescent="0.25">
      <c r="B47" s="285" t="s">
        <v>31</v>
      </c>
      <c r="C47" s="314">
        <f ca="1">B65</f>
        <v>2.9027237752123778</v>
      </c>
      <c r="D47" s="234" t="s">
        <v>30</v>
      </c>
      <c r="E47" s="337" t="s">
        <v>53</v>
      </c>
      <c r="F47" s="338"/>
      <c r="G47" s="338"/>
      <c r="H47" s="338"/>
      <c r="I47" s="339"/>
    </row>
    <row r="48" spans="2:9" x14ac:dyDescent="0.25">
      <c r="B48" s="285" t="s">
        <v>92</v>
      </c>
      <c r="C48" s="314">
        <f ca="1">C65</f>
        <v>24400.510117826263</v>
      </c>
      <c r="D48" s="234" t="s">
        <v>91</v>
      </c>
      <c r="E48" s="337" t="s">
        <v>162</v>
      </c>
      <c r="F48" s="338"/>
      <c r="G48" s="338"/>
      <c r="H48" s="338"/>
      <c r="I48" s="339"/>
    </row>
    <row r="49" spans="1:16" x14ac:dyDescent="0.25">
      <c r="B49" s="285" t="s">
        <v>61</v>
      </c>
      <c r="C49" s="314">
        <f ca="1">D65</f>
        <v>27.140362787773366</v>
      </c>
      <c r="D49" s="234" t="s">
        <v>62</v>
      </c>
      <c r="E49" s="337" t="s">
        <v>163</v>
      </c>
      <c r="F49" s="338"/>
      <c r="G49" s="338"/>
      <c r="H49" s="338"/>
      <c r="I49" s="339"/>
    </row>
    <row r="50" spans="1:16" x14ac:dyDescent="0.25">
      <c r="B50" s="285" t="s">
        <v>97</v>
      </c>
      <c r="C50" s="314">
        <f ca="1">E65</f>
        <v>2.040664903829839</v>
      </c>
      <c r="D50" s="234" t="s">
        <v>98</v>
      </c>
      <c r="E50" s="337" t="s">
        <v>99</v>
      </c>
      <c r="F50" s="338"/>
      <c r="G50" s="338"/>
      <c r="H50" s="338"/>
      <c r="I50" s="339"/>
    </row>
    <row r="51" spans="1:16" x14ac:dyDescent="0.25">
      <c r="B51" s="285" t="s">
        <v>447</v>
      </c>
      <c r="C51" s="314">
        <f ca="1">F65</f>
        <v>5.8208667585135743</v>
      </c>
      <c r="D51" s="234" t="s">
        <v>448</v>
      </c>
      <c r="E51" s="282" t="s">
        <v>449</v>
      </c>
      <c r="F51" s="283"/>
      <c r="G51" s="283"/>
      <c r="H51" s="283"/>
      <c r="I51" s="284"/>
    </row>
    <row r="52" spans="1:16" x14ac:dyDescent="0.25">
      <c r="B52" s="285" t="s">
        <v>464</v>
      </c>
      <c r="C52" s="314">
        <f ca="1">G65</f>
        <v>799414.49300898938</v>
      </c>
      <c r="D52" s="234" t="s">
        <v>448</v>
      </c>
      <c r="E52" s="282" t="s">
        <v>465</v>
      </c>
      <c r="F52" s="283"/>
      <c r="G52" s="283"/>
      <c r="H52" s="283"/>
      <c r="I52" s="284"/>
    </row>
    <row r="53" spans="1:16" x14ac:dyDescent="0.25">
      <c r="B53" s="285" t="s">
        <v>463</v>
      </c>
      <c r="C53" s="314">
        <f ca="1">H65</f>
        <v>35639.720379121776</v>
      </c>
      <c r="D53" s="234" t="s">
        <v>448</v>
      </c>
      <c r="E53" s="282" t="s">
        <v>466</v>
      </c>
      <c r="F53" s="283"/>
      <c r="G53" s="283"/>
      <c r="H53" s="283"/>
      <c r="I53" s="284"/>
    </row>
    <row r="54" spans="1:16" x14ac:dyDescent="0.25">
      <c r="B54" s="285" t="s">
        <v>47</v>
      </c>
      <c r="C54" s="314">
        <f ca="1">I65</f>
        <v>1573.4785661290784</v>
      </c>
      <c r="D54" s="234" t="s">
        <v>49</v>
      </c>
      <c r="E54" s="337" t="s">
        <v>48</v>
      </c>
      <c r="F54" s="338"/>
      <c r="G54" s="338"/>
      <c r="H54" s="338"/>
      <c r="I54" s="339"/>
    </row>
    <row r="55" spans="1:16" x14ac:dyDescent="0.25">
      <c r="B55" s="286" t="s">
        <v>512</v>
      </c>
      <c r="C55" s="315" t="s">
        <v>523</v>
      </c>
      <c r="D55" s="21"/>
      <c r="E55" s="330" t="s">
        <v>516</v>
      </c>
      <c r="F55" s="331"/>
      <c r="G55" s="331"/>
      <c r="H55" s="331"/>
      <c r="I55" s="332"/>
    </row>
    <row r="56" spans="1:16" x14ac:dyDescent="0.25">
      <c r="B56" s="286" t="s">
        <v>25</v>
      </c>
      <c r="C56" s="316">
        <f ca="1">J65</f>
        <v>20.431973495349748</v>
      </c>
      <c r="D56" s="21" t="s">
        <v>18</v>
      </c>
      <c r="E56" s="335" t="s">
        <v>219</v>
      </c>
      <c r="F56" s="335"/>
      <c r="G56" s="335"/>
      <c r="H56" s="335"/>
      <c r="I56" s="335"/>
    </row>
    <row r="57" spans="1:16" x14ac:dyDescent="0.25">
      <c r="B57" s="286" t="s">
        <v>66</v>
      </c>
      <c r="C57" s="326">
        <f ca="1">K65</f>
        <v>65275346.305808291</v>
      </c>
      <c r="D57" s="234" t="s">
        <v>448</v>
      </c>
      <c r="E57" s="330" t="s">
        <v>524</v>
      </c>
      <c r="F57" s="331"/>
      <c r="G57" s="331"/>
      <c r="H57" s="331"/>
      <c r="I57" s="332"/>
    </row>
    <row r="58" spans="1:16" x14ac:dyDescent="0.25">
      <c r="B58" s="286" t="s">
        <v>513</v>
      </c>
      <c r="C58" s="317">
        <f ca="1">L65</f>
        <v>1.457616386433247E-4</v>
      </c>
      <c r="D58" s="21" t="s">
        <v>510</v>
      </c>
      <c r="E58" s="330" t="s">
        <v>514</v>
      </c>
      <c r="F58" s="331"/>
      <c r="G58" s="331"/>
      <c r="H58" s="331"/>
      <c r="I58" s="332"/>
    </row>
    <row r="59" spans="1:16" x14ac:dyDescent="0.25">
      <c r="B59" s="286" t="s">
        <v>158</v>
      </c>
      <c r="C59" s="316">
        <f ca="1">M65</f>
        <v>2.9906732087018812</v>
      </c>
      <c r="D59" s="21" t="s">
        <v>511</v>
      </c>
      <c r="E59" s="330" t="s">
        <v>525</v>
      </c>
      <c r="F59" s="331"/>
      <c r="G59" s="331"/>
      <c r="H59" s="331"/>
      <c r="I59" s="332"/>
    </row>
    <row r="60" spans="1:16" x14ac:dyDescent="0.25">
      <c r="B60" s="286" t="s">
        <v>87</v>
      </c>
      <c r="C60" s="317">
        <f ca="1">N65</f>
        <v>1.0773849312864052E-4</v>
      </c>
      <c r="D60" s="21"/>
      <c r="E60" s="330" t="s">
        <v>526</v>
      </c>
      <c r="F60" s="331"/>
      <c r="G60" s="331"/>
      <c r="H60" s="331"/>
      <c r="I60" s="332"/>
    </row>
    <row r="61" spans="1:16" x14ac:dyDescent="0.25">
      <c r="B61" s="286" t="s">
        <v>515</v>
      </c>
      <c r="C61" s="326">
        <f ca="1">O65</f>
        <v>269204.17935903068</v>
      </c>
      <c r="D61" s="234" t="s">
        <v>448</v>
      </c>
      <c r="E61" s="330" t="s">
        <v>527</v>
      </c>
      <c r="F61" s="331"/>
      <c r="G61" s="331"/>
      <c r="H61" s="331"/>
      <c r="I61" s="332"/>
    </row>
    <row r="62" spans="1:16" x14ac:dyDescent="0.25">
      <c r="B62" s="48"/>
      <c r="C62" s="266"/>
      <c r="G62" s="287"/>
    </row>
    <row r="63" spans="1:16" x14ac:dyDescent="0.25">
      <c r="A63" s="14"/>
      <c r="B63" s="327" t="s">
        <v>31</v>
      </c>
      <c r="C63" s="14" t="s">
        <v>92</v>
      </c>
      <c r="D63" s="146" t="s">
        <v>542</v>
      </c>
      <c r="E63" s="14" t="s">
        <v>97</v>
      </c>
      <c r="F63" s="14" t="s">
        <v>543</v>
      </c>
      <c r="G63" s="14" t="s">
        <v>464</v>
      </c>
      <c r="H63" s="14" t="s">
        <v>463</v>
      </c>
      <c r="I63" s="14" t="s">
        <v>47</v>
      </c>
      <c r="J63" s="14" t="s">
        <v>25</v>
      </c>
      <c r="K63" s="14" t="s">
        <v>66</v>
      </c>
      <c r="L63" s="14" t="s">
        <v>513</v>
      </c>
      <c r="M63" s="14" t="s">
        <v>158</v>
      </c>
      <c r="N63" s="14" t="s">
        <v>87</v>
      </c>
      <c r="O63" s="14" t="s">
        <v>515</v>
      </c>
      <c r="P63" s="14" t="s">
        <v>544</v>
      </c>
    </row>
    <row r="64" spans="1:16" s="131" customFormat="1" x14ac:dyDescent="0.25">
      <c r="A64" s="328" t="s">
        <v>545</v>
      </c>
      <c r="B64">
        <v>14.5</v>
      </c>
      <c r="C64" s="329">
        <v>42793</v>
      </c>
      <c r="D64" s="328">
        <v>39.42</v>
      </c>
      <c r="E64" s="328">
        <v>80.040000000000006</v>
      </c>
      <c r="F64" s="328">
        <v>21.5</v>
      </c>
      <c r="G64" s="328">
        <v>1000000</v>
      </c>
      <c r="H64" s="328">
        <v>50000</v>
      </c>
      <c r="I64" s="328">
        <v>4500</v>
      </c>
      <c r="J64" s="328">
        <v>180</v>
      </c>
      <c r="K64" s="328">
        <v>100000000</v>
      </c>
      <c r="L64" s="328">
        <v>0.02</v>
      </c>
      <c r="M64" s="328">
        <v>3</v>
      </c>
      <c r="N64" s="328">
        <v>1.4899999999999999E-4</v>
      </c>
      <c r="O64" s="328">
        <v>300000</v>
      </c>
      <c r="P64" s="328">
        <f ca="1">MCI!D230</f>
        <v>137327.70976500059</v>
      </c>
    </row>
    <row r="65" spans="1:16" s="131" customFormat="1" x14ac:dyDescent="0.25">
      <c r="A65" s="328" t="s">
        <v>546</v>
      </c>
      <c r="B65" s="328">
        <f ca="1">RAND()*B64</f>
        <v>2.9027237752123778</v>
      </c>
      <c r="C65" s="328">
        <f t="shared" ref="C65:O65" ca="1" si="2">RAND()*C64</f>
        <v>24400.510117826263</v>
      </c>
      <c r="D65" s="328">
        <f t="shared" ca="1" si="2"/>
        <v>27.140362787773366</v>
      </c>
      <c r="E65" s="328">
        <f t="shared" ca="1" si="2"/>
        <v>2.040664903829839</v>
      </c>
      <c r="F65" s="328">
        <f t="shared" ca="1" si="2"/>
        <v>5.8208667585135743</v>
      </c>
      <c r="G65" s="328">
        <f t="shared" ca="1" si="2"/>
        <v>799414.49300898938</v>
      </c>
      <c r="H65" s="328">
        <f t="shared" ca="1" si="2"/>
        <v>35639.720379121776</v>
      </c>
      <c r="I65" s="328">
        <f t="shared" ca="1" si="2"/>
        <v>1573.4785661290784</v>
      </c>
      <c r="J65" s="328">
        <f t="shared" ca="1" si="2"/>
        <v>20.431973495349748</v>
      </c>
      <c r="K65" s="328">
        <f t="shared" ca="1" si="2"/>
        <v>65275346.305808291</v>
      </c>
      <c r="L65" s="328">
        <f t="shared" ca="1" si="2"/>
        <v>1.457616386433247E-4</v>
      </c>
      <c r="M65" s="328">
        <f t="shared" ca="1" si="2"/>
        <v>2.9906732087018812</v>
      </c>
      <c r="N65" s="328">
        <f t="shared" ca="1" si="2"/>
        <v>1.0773849312864052E-4</v>
      </c>
      <c r="O65" s="328">
        <f t="shared" ca="1" si="2"/>
        <v>269204.17935903068</v>
      </c>
      <c r="P65" s="328">
        <f ca="1">P64</f>
        <v>137327.70976500059</v>
      </c>
    </row>
    <row r="66" spans="1:16" s="131" customFormat="1" x14ac:dyDescent="0.25"/>
    <row r="67" spans="1:16" s="131" customFormat="1" x14ac:dyDescent="0.25">
      <c r="B67" s="367">
        <f ca="1">NORMINV(RAND(),10,2)</f>
        <v>12.508806093229522</v>
      </c>
      <c r="E67" s="131">
        <f ca="1">LOGINV(RAND(),3.87,0.32)</f>
        <v>37.827311763076494</v>
      </c>
      <c r="G67" s="131">
        <f ca="1">_xlfn.WEIBULL.DIST(RAND(),0.52,1.3437,FALSE)</f>
        <v>0.24099545540543243</v>
      </c>
    </row>
    <row r="68" spans="1:16" s="131" customFormat="1" x14ac:dyDescent="0.25">
      <c r="B68" s="367">
        <f t="shared" ref="B68:B91" ca="1" si="3">NORMINV(RAND(),10,2)</f>
        <v>8.8534492974499113</v>
      </c>
      <c r="E68" s="131">
        <f t="shared" ref="E68:E91" ca="1" si="4">LOGINV(RAND(),3.87,0.32)</f>
        <v>55.451886482116635</v>
      </c>
      <c r="G68" s="131">
        <f t="shared" ref="G68:G131" ca="1" si="5">_xlfn.WEIBULL.DIST(RAND(),0.52,1.3437,FALSE)</f>
        <v>0.32901494150916166</v>
      </c>
    </row>
    <row r="69" spans="1:16" s="131" customFormat="1" x14ac:dyDescent="0.25">
      <c r="B69" s="367">
        <f t="shared" ca="1" si="3"/>
        <v>9.1646588045025972</v>
      </c>
      <c r="E69" s="131">
        <f t="shared" ca="1" si="4"/>
        <v>49.268668034644186</v>
      </c>
      <c r="G69" s="131">
        <f t="shared" ca="1" si="5"/>
        <v>0.63810925934211193</v>
      </c>
    </row>
    <row r="70" spans="1:16" s="131" customFormat="1" x14ac:dyDescent="0.25">
      <c r="B70" s="367">
        <f t="shared" ca="1" si="3"/>
        <v>10.654920586834308</v>
      </c>
      <c r="E70" s="131">
        <f t="shared" ca="1" si="4"/>
        <v>59.227967443196746</v>
      </c>
      <c r="G70" s="131">
        <f t="shared" ca="1" si="5"/>
        <v>0.31401777892455074</v>
      </c>
    </row>
    <row r="71" spans="1:16" s="131" customFormat="1" x14ac:dyDescent="0.25">
      <c r="B71" s="367">
        <f t="shared" ca="1" si="3"/>
        <v>9.509434418078591</v>
      </c>
      <c r="E71" s="131">
        <f t="shared" ca="1" si="4"/>
        <v>40.699955446436284</v>
      </c>
      <c r="G71" s="131">
        <f t="shared" ca="1" si="5"/>
        <v>0.22259210478109479</v>
      </c>
    </row>
    <row r="72" spans="1:16" s="131" customFormat="1" x14ac:dyDescent="0.25">
      <c r="B72" s="367">
        <f t="shared" ca="1" si="3"/>
        <v>10.417874959282136</v>
      </c>
      <c r="C72" s="50"/>
      <c r="D72" s="46"/>
      <c r="E72" s="131">
        <f t="shared" ca="1" si="4"/>
        <v>19.880834054721365</v>
      </c>
      <c r="G72" s="131">
        <f t="shared" ca="1" si="5"/>
        <v>0.49662449519173429</v>
      </c>
    </row>
    <row r="73" spans="1:16" x14ac:dyDescent="0.25">
      <c r="B73" s="367">
        <f t="shared" ca="1" si="3"/>
        <v>12.33524267115104</v>
      </c>
      <c r="C73" s="67"/>
      <c r="D73" s="47"/>
      <c r="E73" s="131">
        <f t="shared" ca="1" si="4"/>
        <v>38.608150949532444</v>
      </c>
      <c r="F73" s="47"/>
      <c r="G73" s="131">
        <f t="shared" ca="1" si="5"/>
        <v>0.9316702875907682</v>
      </c>
      <c r="H73" s="47"/>
      <c r="I73" s="47"/>
    </row>
    <row r="74" spans="1:16" x14ac:dyDescent="0.25">
      <c r="B74" s="367">
        <f t="shared" ca="1" si="3"/>
        <v>11.812897492287489</v>
      </c>
      <c r="E74" s="131">
        <f t="shared" ca="1" si="4"/>
        <v>54.53547902959879</v>
      </c>
      <c r="G74" s="131">
        <f t="shared" ca="1" si="5"/>
        <v>0.36125179676619623</v>
      </c>
    </row>
    <row r="75" spans="1:16" x14ac:dyDescent="0.25">
      <c r="B75" s="367">
        <f t="shared" ca="1" si="3"/>
        <v>9.4149784840207307</v>
      </c>
      <c r="E75" s="131">
        <f t="shared" ca="1" si="4"/>
        <v>42.512274316591885</v>
      </c>
      <c r="G75" s="131">
        <f t="shared" ca="1" si="5"/>
        <v>0.27466174258758091</v>
      </c>
    </row>
    <row r="76" spans="1:16" x14ac:dyDescent="0.25">
      <c r="B76" s="367">
        <f t="shared" ca="1" si="3"/>
        <v>10.353452505416298</v>
      </c>
      <c r="E76" s="131">
        <f t="shared" ca="1" si="4"/>
        <v>46.456618724204837</v>
      </c>
      <c r="G76" s="131">
        <f t="shared" ca="1" si="5"/>
        <v>0.37546863332403857</v>
      </c>
    </row>
    <row r="77" spans="1:16" x14ac:dyDescent="0.25">
      <c r="B77" s="367">
        <f t="shared" ca="1" si="3"/>
        <v>9.1935833467368049</v>
      </c>
      <c r="E77" s="131">
        <f t="shared" ca="1" si="4"/>
        <v>58.275773282349697</v>
      </c>
      <c r="G77" s="131">
        <f t="shared" ca="1" si="5"/>
        <v>0.46021419119892698</v>
      </c>
    </row>
    <row r="78" spans="1:16" x14ac:dyDescent="0.25">
      <c r="B78" s="367">
        <f t="shared" ca="1" si="3"/>
        <v>8.9030731541569157</v>
      </c>
      <c r="E78" s="131">
        <f t="shared" ca="1" si="4"/>
        <v>47.768891978411652</v>
      </c>
      <c r="G78" s="131">
        <f t="shared" ca="1" si="5"/>
        <v>0.20176173085174737</v>
      </c>
    </row>
    <row r="79" spans="1:16" x14ac:dyDescent="0.25">
      <c r="B79" s="367">
        <f t="shared" ca="1" si="3"/>
        <v>8.1500817267819912</v>
      </c>
      <c r="E79" s="131">
        <f t="shared" ca="1" si="4"/>
        <v>50.743719278692147</v>
      </c>
      <c r="G79" s="131">
        <f t="shared" ca="1" si="5"/>
        <v>1.1110113108238893</v>
      </c>
    </row>
    <row r="80" spans="1:16" x14ac:dyDescent="0.25">
      <c r="B80" s="367">
        <f t="shared" ca="1" si="3"/>
        <v>7.1700815622228689</v>
      </c>
      <c r="E80" s="131">
        <f t="shared" ca="1" si="4"/>
        <v>94.071976934605857</v>
      </c>
      <c r="G80" s="131">
        <f t="shared" ca="1" si="5"/>
        <v>0.34049849861594661</v>
      </c>
    </row>
    <row r="81" spans="2:9" x14ac:dyDescent="0.25">
      <c r="B81" s="367">
        <f t="shared" ca="1" si="3"/>
        <v>10.552653192876361</v>
      </c>
      <c r="E81" s="131">
        <f t="shared" ca="1" si="4"/>
        <v>49.967263951335319</v>
      </c>
      <c r="G81" s="131">
        <f t="shared" ca="1" si="5"/>
        <v>1.8590085381884955</v>
      </c>
    </row>
    <row r="82" spans="2:9" x14ac:dyDescent="0.25">
      <c r="B82" s="367">
        <f t="shared" ca="1" si="3"/>
        <v>10.831497815129222</v>
      </c>
      <c r="C82" s="68"/>
      <c r="E82" s="131">
        <f t="shared" ca="1" si="4"/>
        <v>45.888245706321889</v>
      </c>
      <c r="G82" s="131">
        <f t="shared" ca="1" si="5"/>
        <v>0.29823321063518538</v>
      </c>
      <c r="H82" s="47"/>
      <c r="I82" s="47"/>
    </row>
    <row r="83" spans="2:9" x14ac:dyDescent="0.25">
      <c r="B83" s="367">
        <f t="shared" ca="1" si="3"/>
        <v>11.816154506056822</v>
      </c>
      <c r="C83" s="68"/>
      <c r="E83" s="131">
        <f t="shared" ca="1" si="4"/>
        <v>89.534043124311268</v>
      </c>
      <c r="G83" s="131">
        <f t="shared" ca="1" si="5"/>
        <v>0.35505301985760762</v>
      </c>
      <c r="H83" s="47"/>
      <c r="I83" s="47"/>
    </row>
    <row r="84" spans="2:9" x14ac:dyDescent="0.25">
      <c r="B84" s="367">
        <f t="shared" ca="1" si="3"/>
        <v>9.6807410725941363</v>
      </c>
      <c r="C84" s="6"/>
      <c r="D84" s="41"/>
      <c r="E84" s="131">
        <f t="shared" ca="1" si="4"/>
        <v>44.809648277630671</v>
      </c>
      <c r="F84" s="41"/>
      <c r="G84" s="131">
        <f t="shared" ca="1" si="5"/>
        <v>0.54410261505367852</v>
      </c>
      <c r="H84" s="47"/>
      <c r="I84" s="47"/>
    </row>
    <row r="85" spans="2:9" x14ac:dyDescent="0.25">
      <c r="B85" s="367">
        <f t="shared" ca="1" si="3"/>
        <v>7.6563482479215157</v>
      </c>
      <c r="C85" s="47"/>
      <c r="D85" s="47"/>
      <c r="E85" s="131">
        <f t="shared" ca="1" si="4"/>
        <v>34.300878672516838</v>
      </c>
      <c r="F85" s="47"/>
      <c r="G85" s="131">
        <f t="shared" ca="1" si="5"/>
        <v>0.45937201665375554</v>
      </c>
      <c r="H85" s="47"/>
      <c r="I85" s="47"/>
    </row>
    <row r="86" spans="2:9" x14ac:dyDescent="0.25">
      <c r="B86" s="367">
        <f t="shared" ca="1" si="3"/>
        <v>8.9153154787176412</v>
      </c>
      <c r="C86" s="47"/>
      <c r="D86" s="47"/>
      <c r="E86" s="131">
        <f t="shared" ca="1" si="4"/>
        <v>49.59940878632689</v>
      </c>
      <c r="F86" s="47"/>
      <c r="G86" s="131">
        <f t="shared" ca="1" si="5"/>
        <v>0.82080514748413391</v>
      </c>
      <c r="H86" s="47"/>
      <c r="I86" s="47"/>
    </row>
    <row r="87" spans="2:9" x14ac:dyDescent="0.25">
      <c r="B87" s="367">
        <f t="shared" ca="1" si="3"/>
        <v>8.3854566060069438</v>
      </c>
      <c r="E87" s="131">
        <f t="shared" ca="1" si="4"/>
        <v>44.378241233168957</v>
      </c>
      <c r="F87" s="47"/>
      <c r="G87" s="131">
        <f t="shared" ca="1" si="5"/>
        <v>0.19803481561808611</v>
      </c>
      <c r="H87" s="47"/>
      <c r="I87" s="47"/>
    </row>
    <row r="88" spans="2:9" x14ac:dyDescent="0.25">
      <c r="B88" s="367">
        <f t="shared" ca="1" si="3"/>
        <v>10.13584882588731</v>
      </c>
      <c r="C88" s="47"/>
      <c r="D88" s="47"/>
      <c r="E88" s="131">
        <f t="shared" ca="1" si="4"/>
        <v>54.302293138044199</v>
      </c>
      <c r="F88" s="75"/>
      <c r="G88" s="131">
        <f t="shared" ca="1" si="5"/>
        <v>0.24820673181709291</v>
      </c>
      <c r="H88" s="62"/>
      <c r="I88" s="47"/>
    </row>
    <row r="89" spans="2:9" x14ac:dyDescent="0.25">
      <c r="B89" s="367">
        <f t="shared" ca="1" si="3"/>
        <v>9.2184788676944773</v>
      </c>
      <c r="C89" s="47"/>
      <c r="D89" s="47"/>
      <c r="E89" s="131">
        <f t="shared" ca="1" si="4"/>
        <v>45.570222799709988</v>
      </c>
      <c r="F89" s="47"/>
      <c r="G89" s="131">
        <f t="shared" ca="1" si="5"/>
        <v>0.33646825006142811</v>
      </c>
      <c r="H89" s="47"/>
      <c r="I89" s="47"/>
    </row>
    <row r="90" spans="2:9" x14ac:dyDescent="0.25">
      <c r="B90" s="367">
        <f t="shared" ca="1" si="3"/>
        <v>13.538033047796368</v>
      </c>
      <c r="C90" s="47"/>
      <c r="D90" s="47"/>
      <c r="E90" s="131">
        <f t="shared" ca="1" si="4"/>
        <v>46.58915340129942</v>
      </c>
      <c r="F90" s="47"/>
      <c r="G90" s="131">
        <f t="shared" ca="1" si="5"/>
        <v>0.3064194842396426</v>
      </c>
      <c r="H90" s="47"/>
      <c r="I90" s="47"/>
    </row>
    <row r="91" spans="2:9" x14ac:dyDescent="0.25">
      <c r="B91" s="367">
        <f t="shared" ca="1" si="3"/>
        <v>9.6345869292303359</v>
      </c>
      <c r="C91" s="68"/>
      <c r="D91" s="276"/>
      <c r="E91" s="131">
        <f t="shared" ca="1" si="4"/>
        <v>59.195406871867277</v>
      </c>
      <c r="F91" s="47"/>
      <c r="G91" s="131">
        <f t="shared" ca="1" si="5"/>
        <v>0.1970075200684912</v>
      </c>
      <c r="H91" s="47"/>
      <c r="I91" s="47"/>
    </row>
    <row r="92" spans="2:9" x14ac:dyDescent="0.25">
      <c r="B92" s="192"/>
      <c r="C92">
        <v>1</v>
      </c>
      <c r="G92" s="131">
        <f t="shared" ca="1" si="5"/>
        <v>0.37908040164953588</v>
      </c>
    </row>
    <row r="93" spans="2:9" x14ac:dyDescent="0.25">
      <c r="G93" s="131">
        <f t="shared" ca="1" si="5"/>
        <v>0.1941479448218327</v>
      </c>
    </row>
    <row r="94" spans="2:9" x14ac:dyDescent="0.25">
      <c r="G94" s="131">
        <f t="shared" ca="1" si="5"/>
        <v>0.38912908138841218</v>
      </c>
    </row>
    <row r="95" spans="2:9" x14ac:dyDescent="0.25">
      <c r="G95" s="131">
        <f t="shared" ca="1" si="5"/>
        <v>0.43009994186475897</v>
      </c>
    </row>
    <row r="96" spans="2:9" x14ac:dyDescent="0.25">
      <c r="G96" s="131">
        <f t="shared" ca="1" si="5"/>
        <v>0.22143691532174695</v>
      </c>
    </row>
    <row r="97" spans="7:7" x14ac:dyDescent="0.25">
      <c r="G97" s="131">
        <f t="shared" ca="1" si="5"/>
        <v>0.20562743252418944</v>
      </c>
    </row>
    <row r="98" spans="7:7" x14ac:dyDescent="0.25">
      <c r="G98" s="131">
        <f t="shared" ca="1" si="5"/>
        <v>0.24814238821802437</v>
      </c>
    </row>
    <row r="99" spans="7:7" x14ac:dyDescent="0.25">
      <c r="G99" s="131">
        <f t="shared" ca="1" si="5"/>
        <v>0.23271439102194377</v>
      </c>
    </row>
    <row r="100" spans="7:7" x14ac:dyDescent="0.25">
      <c r="G100" s="131">
        <f t="shared" ca="1" si="5"/>
        <v>0.44096799568585238</v>
      </c>
    </row>
    <row r="101" spans="7:7" x14ac:dyDescent="0.25">
      <c r="G101" s="131">
        <f t="shared" ca="1" si="5"/>
        <v>0.19920140431785238</v>
      </c>
    </row>
    <row r="102" spans="7:7" x14ac:dyDescent="0.25">
      <c r="G102" s="131">
        <f t="shared" ca="1" si="5"/>
        <v>0.3512714116939511</v>
      </c>
    </row>
    <row r="103" spans="7:7" x14ac:dyDescent="0.25">
      <c r="G103" s="131">
        <f t="shared" ca="1" si="5"/>
        <v>0.97502220116841654</v>
      </c>
    </row>
    <row r="104" spans="7:7" x14ac:dyDescent="0.25">
      <c r="G104" s="131">
        <f t="shared" ca="1" si="5"/>
        <v>0.29905899331834657</v>
      </c>
    </row>
    <row r="105" spans="7:7" x14ac:dyDescent="0.25">
      <c r="G105" s="131">
        <f t="shared" ca="1" si="5"/>
        <v>0.25828474872830237</v>
      </c>
    </row>
    <row r="106" spans="7:7" x14ac:dyDescent="0.25">
      <c r="G106" s="131">
        <f t="shared" ca="1" si="5"/>
        <v>0.40782673563508115</v>
      </c>
    </row>
    <row r="107" spans="7:7" x14ac:dyDescent="0.25">
      <c r="G107" s="131">
        <f t="shared" ca="1" si="5"/>
        <v>0.60645456668259634</v>
      </c>
    </row>
    <row r="108" spans="7:7" x14ac:dyDescent="0.25">
      <c r="G108" s="131">
        <f t="shared" ca="1" si="5"/>
        <v>0.24483652189601376</v>
      </c>
    </row>
    <row r="109" spans="7:7" x14ac:dyDescent="0.25">
      <c r="G109" s="131">
        <f t="shared" ca="1" si="5"/>
        <v>0.28861219897862472</v>
      </c>
    </row>
    <row r="110" spans="7:7" x14ac:dyDescent="0.25">
      <c r="G110" s="131">
        <f t="shared" ca="1" si="5"/>
        <v>0.35402308701286378</v>
      </c>
    </row>
    <row r="111" spans="7:7" x14ac:dyDescent="0.25">
      <c r="G111" s="131">
        <f t="shared" ca="1" si="5"/>
        <v>0.45121585232164191</v>
      </c>
    </row>
    <row r="112" spans="7:7" x14ac:dyDescent="0.25">
      <c r="G112" s="131">
        <f t="shared" ca="1" si="5"/>
        <v>0.33892504087067943</v>
      </c>
    </row>
    <row r="113" spans="7:7" x14ac:dyDescent="0.25">
      <c r="G113" s="131">
        <f t="shared" ca="1" si="5"/>
        <v>0.5398596222935842</v>
      </c>
    </row>
    <row r="114" spans="7:7" x14ac:dyDescent="0.25">
      <c r="G114" s="131">
        <f t="shared" ca="1" si="5"/>
        <v>0.3036371616808925</v>
      </c>
    </row>
    <row r="115" spans="7:7" x14ac:dyDescent="0.25">
      <c r="G115" s="131">
        <f t="shared" ca="1" si="5"/>
        <v>0.48870779501517658</v>
      </c>
    </row>
    <row r="116" spans="7:7" x14ac:dyDescent="0.25">
      <c r="G116" s="131">
        <f t="shared" ca="1" si="5"/>
        <v>0.19956727081141565</v>
      </c>
    </row>
    <row r="117" spans="7:7" x14ac:dyDescent="0.25">
      <c r="G117" s="131">
        <f t="shared" ca="1" si="5"/>
        <v>0.77783142231307012</v>
      </c>
    </row>
    <row r="118" spans="7:7" x14ac:dyDescent="0.25">
      <c r="G118" s="131">
        <f t="shared" ca="1" si="5"/>
        <v>0.40136524927597345</v>
      </c>
    </row>
    <row r="119" spans="7:7" x14ac:dyDescent="0.25">
      <c r="G119" s="131">
        <f t="shared" ca="1" si="5"/>
        <v>1.1110135905531255</v>
      </c>
    </row>
    <row r="120" spans="7:7" x14ac:dyDescent="0.25">
      <c r="G120" s="131">
        <f t="shared" ca="1" si="5"/>
        <v>0.21304735232180733</v>
      </c>
    </row>
    <row r="121" spans="7:7" x14ac:dyDescent="0.25">
      <c r="G121" s="131">
        <f t="shared" ca="1" si="5"/>
        <v>0.73203929900073472</v>
      </c>
    </row>
    <row r="122" spans="7:7" x14ac:dyDescent="0.25">
      <c r="G122" s="131">
        <f t="shared" ca="1" si="5"/>
        <v>0.87692561508747535</v>
      </c>
    </row>
    <row r="123" spans="7:7" x14ac:dyDescent="0.25">
      <c r="G123" s="131">
        <f t="shared" ca="1" si="5"/>
        <v>1.329742347936842</v>
      </c>
    </row>
    <row r="124" spans="7:7" x14ac:dyDescent="0.25">
      <c r="G124" s="131">
        <f t="shared" ca="1" si="5"/>
        <v>0.29245376973482606</v>
      </c>
    </row>
    <row r="125" spans="7:7" x14ac:dyDescent="0.25">
      <c r="G125" s="131">
        <f t="shared" ca="1" si="5"/>
        <v>0.3692584553501711</v>
      </c>
    </row>
    <row r="126" spans="7:7" x14ac:dyDescent="0.25">
      <c r="G126" s="131">
        <f t="shared" ca="1" si="5"/>
        <v>0.55220998573266289</v>
      </c>
    </row>
    <row r="127" spans="7:7" x14ac:dyDescent="0.25">
      <c r="G127" s="131">
        <f t="shared" ca="1" si="5"/>
        <v>0.28324980773285552</v>
      </c>
    </row>
    <row r="128" spans="7:7" x14ac:dyDescent="0.25">
      <c r="G128" s="131">
        <f t="shared" ca="1" si="5"/>
        <v>1.1021556554391319</v>
      </c>
    </row>
    <row r="129" spans="7:7" x14ac:dyDescent="0.25">
      <c r="G129" s="131">
        <f t="shared" ca="1" si="5"/>
        <v>0.30053884756603627</v>
      </c>
    </row>
    <row r="130" spans="7:7" x14ac:dyDescent="0.25">
      <c r="G130" s="131">
        <f t="shared" ca="1" si="5"/>
        <v>0.51866220316408329</v>
      </c>
    </row>
    <row r="131" spans="7:7" x14ac:dyDescent="0.25">
      <c r="G131" s="131">
        <f t="shared" ca="1" si="5"/>
        <v>2.8237699823183102</v>
      </c>
    </row>
    <row r="132" spans="7:7" x14ac:dyDescent="0.25">
      <c r="G132" s="131">
        <f t="shared" ref="G132:G195" ca="1" si="6">_xlfn.WEIBULL.DIST(RAND(),0.52,1.3437,FALSE)</f>
        <v>0.31969024105153127</v>
      </c>
    </row>
    <row r="133" spans="7:7" x14ac:dyDescent="0.25">
      <c r="G133" s="131">
        <f t="shared" ca="1" si="6"/>
        <v>0.29707922669064507</v>
      </c>
    </row>
    <row r="134" spans="7:7" x14ac:dyDescent="0.25">
      <c r="G134" s="131">
        <f t="shared" ca="1" si="6"/>
        <v>0.22880104582180963</v>
      </c>
    </row>
    <row r="135" spans="7:7" x14ac:dyDescent="0.25">
      <c r="G135" s="131">
        <f t="shared" ca="1" si="6"/>
        <v>2.5114723448598784</v>
      </c>
    </row>
    <row r="136" spans="7:7" x14ac:dyDescent="0.25">
      <c r="G136" s="131">
        <f t="shared" ca="1" si="6"/>
        <v>1.7295943685104507</v>
      </c>
    </row>
    <row r="137" spans="7:7" x14ac:dyDescent="0.25">
      <c r="G137" s="131">
        <f t="shared" ca="1" si="6"/>
        <v>0.47112082120882154</v>
      </c>
    </row>
    <row r="138" spans="7:7" x14ac:dyDescent="0.25">
      <c r="G138" s="131">
        <f t="shared" ca="1" si="6"/>
        <v>0.36628779297109471</v>
      </c>
    </row>
    <row r="139" spans="7:7" x14ac:dyDescent="0.25">
      <c r="G139" s="131">
        <f t="shared" ca="1" si="6"/>
        <v>0.86926461909585606</v>
      </c>
    </row>
    <row r="140" spans="7:7" x14ac:dyDescent="0.25">
      <c r="G140" s="131">
        <f t="shared" ca="1" si="6"/>
        <v>0.9738551287961511</v>
      </c>
    </row>
    <row r="141" spans="7:7" x14ac:dyDescent="0.25">
      <c r="G141" s="131">
        <f t="shared" ca="1" si="6"/>
        <v>0.2245230390576245</v>
      </c>
    </row>
    <row r="142" spans="7:7" x14ac:dyDescent="0.25">
      <c r="G142" s="131">
        <f t="shared" ca="1" si="6"/>
        <v>0.50703009047077829</v>
      </c>
    </row>
    <row r="143" spans="7:7" x14ac:dyDescent="0.25">
      <c r="G143" s="131">
        <f t="shared" ca="1" si="6"/>
        <v>0.23098314536135023</v>
      </c>
    </row>
    <row r="144" spans="7:7" x14ac:dyDescent="0.25">
      <c r="G144" s="131">
        <f t="shared" ca="1" si="6"/>
        <v>0.45529145949193872</v>
      </c>
    </row>
    <row r="145" spans="7:7" x14ac:dyDescent="0.25">
      <c r="G145" s="131">
        <f t="shared" ca="1" si="6"/>
        <v>0.29775809069295439</v>
      </c>
    </row>
    <row r="146" spans="7:7" x14ac:dyDescent="0.25">
      <c r="G146" s="131">
        <f t="shared" ca="1" si="6"/>
        <v>0.27441694749617207</v>
      </c>
    </row>
    <row r="147" spans="7:7" x14ac:dyDescent="0.25">
      <c r="G147" s="131">
        <f t="shared" ca="1" si="6"/>
        <v>1.6102002670885296</v>
      </c>
    </row>
    <row r="148" spans="7:7" x14ac:dyDescent="0.25">
      <c r="G148" s="131">
        <f t="shared" ca="1" si="6"/>
        <v>0.8209535970802796</v>
      </c>
    </row>
    <row r="149" spans="7:7" x14ac:dyDescent="0.25">
      <c r="G149" s="131">
        <f t="shared" ca="1" si="6"/>
        <v>0.21899720373126286</v>
      </c>
    </row>
    <row r="150" spans="7:7" x14ac:dyDescent="0.25">
      <c r="G150" s="131">
        <f t="shared" ca="1" si="6"/>
        <v>0.25189628708077616</v>
      </c>
    </row>
    <row r="151" spans="7:7" x14ac:dyDescent="0.25">
      <c r="G151" s="131">
        <f t="shared" ca="1" si="6"/>
        <v>0.25801445928033134</v>
      </c>
    </row>
    <row r="152" spans="7:7" x14ac:dyDescent="0.25">
      <c r="G152" s="131">
        <f t="shared" ca="1" si="6"/>
        <v>0.55903254414068304</v>
      </c>
    </row>
    <row r="153" spans="7:7" x14ac:dyDescent="0.25">
      <c r="G153" s="131">
        <f t="shared" ca="1" si="6"/>
        <v>0.2685168396549733</v>
      </c>
    </row>
    <row r="154" spans="7:7" x14ac:dyDescent="0.25">
      <c r="G154" s="131">
        <f t="shared" ca="1" si="6"/>
        <v>0.90381356038937866</v>
      </c>
    </row>
    <row r="155" spans="7:7" x14ac:dyDescent="0.25">
      <c r="G155" s="131">
        <f t="shared" ca="1" si="6"/>
        <v>0.36088088133227858</v>
      </c>
    </row>
    <row r="156" spans="7:7" x14ac:dyDescent="0.25">
      <c r="G156" s="131">
        <f t="shared" ca="1" si="6"/>
        <v>1.294297051335302</v>
      </c>
    </row>
    <row r="157" spans="7:7" x14ac:dyDescent="0.25">
      <c r="G157" s="131">
        <f t="shared" ca="1" si="6"/>
        <v>0.36391558254154133</v>
      </c>
    </row>
    <row r="158" spans="7:7" x14ac:dyDescent="0.25">
      <c r="G158" s="131">
        <f t="shared" ca="1" si="6"/>
        <v>0.22490573700830388</v>
      </c>
    </row>
    <row r="159" spans="7:7" x14ac:dyDescent="0.25">
      <c r="G159" s="131">
        <f t="shared" ca="1" si="6"/>
        <v>0.25627855725760074</v>
      </c>
    </row>
    <row r="160" spans="7:7" x14ac:dyDescent="0.25">
      <c r="G160" s="131">
        <f t="shared" ca="1" si="6"/>
        <v>0.21546765243422061</v>
      </c>
    </row>
    <row r="161" spans="7:7" x14ac:dyDescent="0.25">
      <c r="G161" s="131">
        <f t="shared" ca="1" si="6"/>
        <v>0.26103365912512405</v>
      </c>
    </row>
    <row r="162" spans="7:7" x14ac:dyDescent="0.25">
      <c r="G162" s="131">
        <f t="shared" ca="1" si="6"/>
        <v>0.37775064131214531</v>
      </c>
    </row>
    <row r="163" spans="7:7" x14ac:dyDescent="0.25">
      <c r="G163" s="131">
        <f t="shared" ca="1" si="6"/>
        <v>0.24320449929422353</v>
      </c>
    </row>
    <row r="164" spans="7:7" x14ac:dyDescent="0.25">
      <c r="G164" s="131">
        <f t="shared" ca="1" si="6"/>
        <v>1.730194736263162</v>
      </c>
    </row>
    <row r="165" spans="7:7" x14ac:dyDescent="0.25">
      <c r="G165" s="131">
        <f t="shared" ca="1" si="6"/>
        <v>0.35370982840440662</v>
      </c>
    </row>
    <row r="166" spans="7:7" x14ac:dyDescent="0.25">
      <c r="G166" s="131">
        <f t="shared" ca="1" si="6"/>
        <v>0.27481884685989899</v>
      </c>
    </row>
    <row r="167" spans="7:7" x14ac:dyDescent="0.25">
      <c r="G167" s="131">
        <f t="shared" ca="1" si="6"/>
        <v>0.29109990410275138</v>
      </c>
    </row>
    <row r="168" spans="7:7" x14ac:dyDescent="0.25">
      <c r="G168" s="131">
        <f t="shared" ca="1" si="6"/>
        <v>0.19449317639321126</v>
      </c>
    </row>
    <row r="169" spans="7:7" x14ac:dyDescent="0.25">
      <c r="G169" s="131">
        <f t="shared" ca="1" si="6"/>
        <v>0.74353558496541061</v>
      </c>
    </row>
    <row r="170" spans="7:7" x14ac:dyDescent="0.25">
      <c r="G170" s="131">
        <f t="shared" ca="1" si="6"/>
        <v>0.7614440514538755</v>
      </c>
    </row>
    <row r="171" spans="7:7" x14ac:dyDescent="0.25">
      <c r="G171" s="131">
        <f t="shared" ca="1" si="6"/>
        <v>0.28440729644125307</v>
      </c>
    </row>
    <row r="172" spans="7:7" x14ac:dyDescent="0.25">
      <c r="G172" s="131">
        <f t="shared" ca="1" si="6"/>
        <v>0.29329446731680631</v>
      </c>
    </row>
    <row r="173" spans="7:7" x14ac:dyDescent="0.25">
      <c r="G173" s="131">
        <f t="shared" ca="1" si="6"/>
        <v>0.33257708487436122</v>
      </c>
    </row>
    <row r="174" spans="7:7" x14ac:dyDescent="0.25">
      <c r="G174" s="131">
        <f t="shared" ca="1" si="6"/>
        <v>0.23246075175609207</v>
      </c>
    </row>
    <row r="175" spans="7:7" x14ac:dyDescent="0.25">
      <c r="G175" s="131">
        <f t="shared" ca="1" si="6"/>
        <v>1.1894565362441289</v>
      </c>
    </row>
    <row r="176" spans="7:7" x14ac:dyDescent="0.25">
      <c r="G176" s="131">
        <f t="shared" ca="1" si="6"/>
        <v>0.19143709708701276</v>
      </c>
    </row>
    <row r="177" spans="7:7" x14ac:dyDescent="0.25">
      <c r="G177" s="131">
        <f t="shared" ca="1" si="6"/>
        <v>0.34166362203267003</v>
      </c>
    </row>
    <row r="178" spans="7:7" x14ac:dyDescent="0.25">
      <c r="G178" s="131">
        <f t="shared" ca="1" si="6"/>
        <v>0.75848002499824962</v>
      </c>
    </row>
    <row r="179" spans="7:7" x14ac:dyDescent="0.25">
      <c r="G179" s="131">
        <f t="shared" ca="1" si="6"/>
        <v>0.31618803922197353</v>
      </c>
    </row>
    <row r="180" spans="7:7" x14ac:dyDescent="0.25">
      <c r="G180" s="131">
        <f t="shared" ca="1" si="6"/>
        <v>0.20551390018634649</v>
      </c>
    </row>
    <row r="181" spans="7:7" x14ac:dyDescent="0.25">
      <c r="G181" s="131">
        <f t="shared" ca="1" si="6"/>
        <v>0.76524271396679955</v>
      </c>
    </row>
    <row r="182" spans="7:7" x14ac:dyDescent="0.25">
      <c r="G182" s="131">
        <f t="shared" ca="1" si="6"/>
        <v>0.63415145310567633</v>
      </c>
    </row>
    <row r="183" spans="7:7" x14ac:dyDescent="0.25">
      <c r="G183" s="131">
        <f t="shared" ca="1" si="6"/>
        <v>0.32177850868001251</v>
      </c>
    </row>
    <row r="184" spans="7:7" x14ac:dyDescent="0.25">
      <c r="G184" s="131">
        <f t="shared" ca="1" si="6"/>
        <v>0.26125271506407588</v>
      </c>
    </row>
    <row r="185" spans="7:7" x14ac:dyDescent="0.25">
      <c r="G185" s="131">
        <f t="shared" ca="1" si="6"/>
        <v>0.6599989088011613</v>
      </c>
    </row>
    <row r="186" spans="7:7" x14ac:dyDescent="0.25">
      <c r="G186" s="131">
        <f t="shared" ca="1" si="6"/>
        <v>1.1425085085297924</v>
      </c>
    </row>
    <row r="187" spans="7:7" x14ac:dyDescent="0.25">
      <c r="G187" s="131">
        <f t="shared" ca="1" si="6"/>
        <v>0.2778443646221056</v>
      </c>
    </row>
    <row r="188" spans="7:7" x14ac:dyDescent="0.25">
      <c r="G188" s="131">
        <f t="shared" ca="1" si="6"/>
        <v>0.25294073832468345</v>
      </c>
    </row>
    <row r="189" spans="7:7" x14ac:dyDescent="0.25">
      <c r="G189" s="131">
        <f t="shared" ca="1" si="6"/>
        <v>0.37256150530246113</v>
      </c>
    </row>
    <row r="190" spans="7:7" x14ac:dyDescent="0.25">
      <c r="G190" s="131">
        <f t="shared" ca="1" si="6"/>
        <v>1.015233951041312</v>
      </c>
    </row>
    <row r="191" spans="7:7" x14ac:dyDescent="0.25">
      <c r="G191" s="131">
        <f t="shared" ca="1" si="6"/>
        <v>0.35310498599677531</v>
      </c>
    </row>
    <row r="192" spans="7:7" x14ac:dyDescent="0.25">
      <c r="G192" s="131">
        <f t="shared" ca="1" si="6"/>
        <v>0.2619084085406761</v>
      </c>
    </row>
    <row r="193" spans="7:7" x14ac:dyDescent="0.25">
      <c r="G193" s="131">
        <f t="shared" ca="1" si="6"/>
        <v>0.22453180479892529</v>
      </c>
    </row>
    <row r="194" spans="7:7" x14ac:dyDescent="0.25">
      <c r="G194" s="131">
        <f t="shared" ca="1" si="6"/>
        <v>0.4549701555343425</v>
      </c>
    </row>
    <row r="195" spans="7:7" x14ac:dyDescent="0.25">
      <c r="G195" s="131">
        <f t="shared" ca="1" si="6"/>
        <v>1.2964153259241522</v>
      </c>
    </row>
    <row r="196" spans="7:7" x14ac:dyDescent="0.25">
      <c r="G196" s="131">
        <f t="shared" ref="G196:G259" ca="1" si="7">_xlfn.WEIBULL.DIST(RAND(),0.52,1.3437,FALSE)</f>
        <v>0.40553492414810366</v>
      </c>
    </row>
    <row r="197" spans="7:7" x14ac:dyDescent="0.25">
      <c r="G197" s="131">
        <f t="shared" ca="1" si="7"/>
        <v>1.2033171342972317</v>
      </c>
    </row>
    <row r="198" spans="7:7" x14ac:dyDescent="0.25">
      <c r="G198" s="131">
        <f t="shared" ca="1" si="7"/>
        <v>0.2371269881923532</v>
      </c>
    </row>
    <row r="199" spans="7:7" x14ac:dyDescent="0.25">
      <c r="G199" s="131">
        <f t="shared" ca="1" si="7"/>
        <v>0.62556516007230856</v>
      </c>
    </row>
    <row r="200" spans="7:7" x14ac:dyDescent="0.25">
      <c r="G200" s="131">
        <f t="shared" ca="1" si="7"/>
        <v>0.21848970942332277</v>
      </c>
    </row>
    <row r="201" spans="7:7" x14ac:dyDescent="0.25">
      <c r="G201" s="131">
        <f t="shared" ca="1" si="7"/>
        <v>0.39006341233247532</v>
      </c>
    </row>
    <row r="202" spans="7:7" x14ac:dyDescent="0.25">
      <c r="G202" s="131">
        <f t="shared" ca="1" si="7"/>
        <v>0.20436563593187335</v>
      </c>
    </row>
    <row r="203" spans="7:7" x14ac:dyDescent="0.25">
      <c r="G203" s="131">
        <f t="shared" ca="1" si="7"/>
        <v>1.6905499484330369</v>
      </c>
    </row>
    <row r="204" spans="7:7" x14ac:dyDescent="0.25">
      <c r="G204" s="131">
        <f t="shared" ca="1" si="7"/>
        <v>0.25873534424993466</v>
      </c>
    </row>
    <row r="205" spans="7:7" x14ac:dyDescent="0.25">
      <c r="G205" s="131">
        <f t="shared" ca="1" si="7"/>
        <v>0.27257986609305401</v>
      </c>
    </row>
    <row r="206" spans="7:7" x14ac:dyDescent="0.25">
      <c r="G206" s="131">
        <f t="shared" ca="1" si="7"/>
        <v>0.26741103260519017</v>
      </c>
    </row>
    <row r="207" spans="7:7" x14ac:dyDescent="0.25">
      <c r="G207" s="131">
        <f t="shared" ca="1" si="7"/>
        <v>0.21916405402152395</v>
      </c>
    </row>
    <row r="208" spans="7:7" x14ac:dyDescent="0.25">
      <c r="G208" s="131">
        <f t="shared" ca="1" si="7"/>
        <v>0.77222241369939815</v>
      </c>
    </row>
    <row r="209" spans="7:7" x14ac:dyDescent="0.25">
      <c r="G209" s="131">
        <f t="shared" ca="1" si="7"/>
        <v>0.19099965113441514</v>
      </c>
    </row>
    <row r="210" spans="7:7" x14ac:dyDescent="0.25">
      <c r="G210" s="131">
        <f t="shared" ca="1" si="7"/>
        <v>0.33951070365442537</v>
      </c>
    </row>
    <row r="211" spans="7:7" x14ac:dyDescent="0.25">
      <c r="G211" s="131">
        <f t="shared" ca="1" si="7"/>
        <v>0.27290795279828756</v>
      </c>
    </row>
    <row r="212" spans="7:7" x14ac:dyDescent="0.25">
      <c r="G212" s="131">
        <f t="shared" ca="1" si="7"/>
        <v>0.34246200895363899</v>
      </c>
    </row>
    <row r="213" spans="7:7" x14ac:dyDescent="0.25">
      <c r="G213" s="131">
        <f t="shared" ca="1" si="7"/>
        <v>2.1143005557412544</v>
      </c>
    </row>
    <row r="214" spans="7:7" x14ac:dyDescent="0.25">
      <c r="G214" s="131">
        <f t="shared" ca="1" si="7"/>
        <v>0.31667304312591182</v>
      </c>
    </row>
    <row r="215" spans="7:7" x14ac:dyDescent="0.25">
      <c r="G215" s="131">
        <f t="shared" ca="1" si="7"/>
        <v>0.34742811625254877</v>
      </c>
    </row>
    <row r="216" spans="7:7" x14ac:dyDescent="0.25">
      <c r="G216" s="131">
        <f t="shared" ca="1" si="7"/>
        <v>0.49913629129989601</v>
      </c>
    </row>
    <row r="217" spans="7:7" x14ac:dyDescent="0.25">
      <c r="G217" s="131">
        <f t="shared" ca="1" si="7"/>
        <v>0.34697245306522667</v>
      </c>
    </row>
    <row r="218" spans="7:7" x14ac:dyDescent="0.25">
      <c r="G218" s="131">
        <f t="shared" ca="1" si="7"/>
        <v>0.22760979545298651</v>
      </c>
    </row>
    <row r="219" spans="7:7" x14ac:dyDescent="0.25">
      <c r="G219" s="131">
        <f t="shared" ca="1" si="7"/>
        <v>0.27405701815036071</v>
      </c>
    </row>
    <row r="220" spans="7:7" x14ac:dyDescent="0.25">
      <c r="G220" s="131">
        <f t="shared" ca="1" si="7"/>
        <v>0.43076609505351821</v>
      </c>
    </row>
    <row r="221" spans="7:7" x14ac:dyDescent="0.25">
      <c r="G221" s="131">
        <f t="shared" ca="1" si="7"/>
        <v>0.20194693916458464</v>
      </c>
    </row>
    <row r="222" spans="7:7" x14ac:dyDescent="0.25">
      <c r="G222" s="131">
        <f t="shared" ca="1" si="7"/>
        <v>0.27143959329038819</v>
      </c>
    </row>
    <row r="223" spans="7:7" x14ac:dyDescent="0.25">
      <c r="G223" s="131">
        <f t="shared" ca="1" si="7"/>
        <v>0.58113179329748477</v>
      </c>
    </row>
    <row r="224" spans="7:7" x14ac:dyDescent="0.25">
      <c r="G224" s="131">
        <f t="shared" ca="1" si="7"/>
        <v>0.53006665341187165</v>
      </c>
    </row>
    <row r="225" spans="7:7" x14ac:dyDescent="0.25">
      <c r="G225" s="131">
        <f t="shared" ca="1" si="7"/>
        <v>0.33357023596236113</v>
      </c>
    </row>
    <row r="226" spans="7:7" x14ac:dyDescent="0.25">
      <c r="G226" s="131">
        <f t="shared" ca="1" si="7"/>
        <v>0.77289166423365185</v>
      </c>
    </row>
    <row r="227" spans="7:7" x14ac:dyDescent="0.25">
      <c r="G227" s="131">
        <f t="shared" ca="1" si="7"/>
        <v>0.54537412562467957</v>
      </c>
    </row>
    <row r="228" spans="7:7" x14ac:dyDescent="0.25">
      <c r="G228" s="131">
        <f t="shared" ca="1" si="7"/>
        <v>0.32722914112959139</v>
      </c>
    </row>
    <row r="229" spans="7:7" x14ac:dyDescent="0.25">
      <c r="G229" s="131">
        <f t="shared" ca="1" si="7"/>
        <v>0.19026407607645948</v>
      </c>
    </row>
    <row r="230" spans="7:7" x14ac:dyDescent="0.25">
      <c r="G230" s="131">
        <f t="shared" ca="1" si="7"/>
        <v>0.35042731723214021</v>
      </c>
    </row>
    <row r="231" spans="7:7" x14ac:dyDescent="0.25">
      <c r="G231" s="131">
        <f t="shared" ca="1" si="7"/>
        <v>0.22964757518895326</v>
      </c>
    </row>
    <row r="232" spans="7:7" x14ac:dyDescent="0.25">
      <c r="G232" s="131">
        <f t="shared" ca="1" si="7"/>
        <v>0.53931569854631123</v>
      </c>
    </row>
    <row r="233" spans="7:7" x14ac:dyDescent="0.25">
      <c r="G233" s="131">
        <f t="shared" ca="1" si="7"/>
        <v>0.22376008321767654</v>
      </c>
    </row>
    <row r="234" spans="7:7" x14ac:dyDescent="0.25">
      <c r="G234" s="131">
        <f t="shared" ca="1" si="7"/>
        <v>0.22428240297128102</v>
      </c>
    </row>
    <row r="235" spans="7:7" x14ac:dyDescent="0.25">
      <c r="G235" s="131">
        <f t="shared" ca="1" si="7"/>
        <v>0.21126342541397441</v>
      </c>
    </row>
    <row r="236" spans="7:7" x14ac:dyDescent="0.25">
      <c r="G236" s="131">
        <f t="shared" ca="1" si="7"/>
        <v>0.71940432786029629</v>
      </c>
    </row>
    <row r="237" spans="7:7" x14ac:dyDescent="0.25">
      <c r="G237" s="131">
        <f t="shared" ca="1" si="7"/>
        <v>0.24877933641549024</v>
      </c>
    </row>
    <row r="238" spans="7:7" x14ac:dyDescent="0.25">
      <c r="G238" s="131">
        <f t="shared" ca="1" si="7"/>
        <v>0.20864569643764486</v>
      </c>
    </row>
    <row r="239" spans="7:7" x14ac:dyDescent="0.25">
      <c r="G239" s="131">
        <f t="shared" ca="1" si="7"/>
        <v>0.37208068791253901</v>
      </c>
    </row>
    <row r="240" spans="7:7" x14ac:dyDescent="0.25">
      <c r="G240" s="131">
        <f t="shared" ca="1" si="7"/>
        <v>0.22028850165297387</v>
      </c>
    </row>
    <row r="241" spans="7:7" x14ac:dyDescent="0.25">
      <c r="G241" s="131">
        <f t="shared" ca="1" si="7"/>
        <v>0.3582739169193509</v>
      </c>
    </row>
    <row r="242" spans="7:7" x14ac:dyDescent="0.25">
      <c r="G242" s="131">
        <f t="shared" ca="1" si="7"/>
        <v>1.0023476384988816</v>
      </c>
    </row>
    <row r="243" spans="7:7" x14ac:dyDescent="0.25">
      <c r="G243" s="131">
        <f t="shared" ca="1" si="7"/>
        <v>3.313197897019148</v>
      </c>
    </row>
    <row r="244" spans="7:7" x14ac:dyDescent="0.25">
      <c r="G244" s="131">
        <f t="shared" ca="1" si="7"/>
        <v>7.3956799869806131</v>
      </c>
    </row>
    <row r="245" spans="7:7" x14ac:dyDescent="0.25">
      <c r="G245" s="131">
        <f t="shared" ca="1" si="7"/>
        <v>0.21549024444747952</v>
      </c>
    </row>
    <row r="246" spans="7:7" x14ac:dyDescent="0.25">
      <c r="G246" s="131">
        <f t="shared" ca="1" si="7"/>
        <v>0.70562315493552707</v>
      </c>
    </row>
    <row r="247" spans="7:7" x14ac:dyDescent="0.25">
      <c r="G247" s="131">
        <f t="shared" ca="1" si="7"/>
        <v>0.33507184845462801</v>
      </c>
    </row>
    <row r="248" spans="7:7" x14ac:dyDescent="0.25">
      <c r="G248" s="131">
        <f t="shared" ca="1" si="7"/>
        <v>0.6505102332491608</v>
      </c>
    </row>
    <row r="249" spans="7:7" x14ac:dyDescent="0.25">
      <c r="G249" s="131">
        <f t="shared" ca="1" si="7"/>
        <v>0.31631006126577477</v>
      </c>
    </row>
    <row r="250" spans="7:7" x14ac:dyDescent="0.25">
      <c r="G250" s="131">
        <f t="shared" ca="1" si="7"/>
        <v>0.24824481956723893</v>
      </c>
    </row>
    <row r="251" spans="7:7" x14ac:dyDescent="0.25">
      <c r="G251" s="131">
        <f t="shared" ca="1" si="7"/>
        <v>0.57548938843877007</v>
      </c>
    </row>
    <row r="252" spans="7:7" x14ac:dyDescent="0.25">
      <c r="G252" s="131">
        <f t="shared" ca="1" si="7"/>
        <v>0.74563590313943706</v>
      </c>
    </row>
    <row r="253" spans="7:7" x14ac:dyDescent="0.25">
      <c r="G253" s="131">
        <f t="shared" ca="1" si="7"/>
        <v>0.86305027703764692</v>
      </c>
    </row>
    <row r="254" spans="7:7" x14ac:dyDescent="0.25">
      <c r="G254" s="131">
        <f t="shared" ca="1" si="7"/>
        <v>0.43139490332858638</v>
      </c>
    </row>
    <row r="255" spans="7:7" x14ac:dyDescent="0.25">
      <c r="G255" s="131">
        <f t="shared" ca="1" si="7"/>
        <v>1.0210520510418104</v>
      </c>
    </row>
    <row r="256" spans="7:7" x14ac:dyDescent="0.25">
      <c r="G256" s="131">
        <f t="shared" ca="1" si="7"/>
        <v>0.3330774516386153</v>
      </c>
    </row>
    <row r="257" spans="7:7" x14ac:dyDescent="0.25">
      <c r="G257" s="131">
        <f t="shared" ca="1" si="7"/>
        <v>0.2078860329298626</v>
      </c>
    </row>
    <row r="258" spans="7:7" x14ac:dyDescent="0.25">
      <c r="G258" s="131">
        <f t="shared" ca="1" si="7"/>
        <v>0.75454776664324918</v>
      </c>
    </row>
    <row r="259" spans="7:7" x14ac:dyDescent="0.25">
      <c r="G259" s="131">
        <f t="shared" ca="1" si="7"/>
        <v>0.76079648097098063</v>
      </c>
    </row>
    <row r="260" spans="7:7" x14ac:dyDescent="0.25">
      <c r="G260" s="131">
        <f t="shared" ref="G260:G323" ca="1" si="8">_xlfn.WEIBULL.DIST(RAND(),0.52,1.3437,FALSE)</f>
        <v>0.49913430500351541</v>
      </c>
    </row>
    <row r="261" spans="7:7" x14ac:dyDescent="0.25">
      <c r="G261" s="131">
        <f t="shared" ca="1" si="8"/>
        <v>0.50384749819178876</v>
      </c>
    </row>
    <row r="262" spans="7:7" x14ac:dyDescent="0.25">
      <c r="G262" s="131">
        <f t="shared" ca="1" si="8"/>
        <v>0.43843027898791492</v>
      </c>
    </row>
    <row r="263" spans="7:7" x14ac:dyDescent="0.25">
      <c r="G263" s="131">
        <f t="shared" ca="1" si="8"/>
        <v>0.34518456697995575</v>
      </c>
    </row>
    <row r="264" spans="7:7" x14ac:dyDescent="0.25">
      <c r="G264" s="131">
        <f t="shared" ca="1" si="8"/>
        <v>0.91204107524371791</v>
      </c>
    </row>
    <row r="265" spans="7:7" x14ac:dyDescent="0.25">
      <c r="G265" s="131">
        <f t="shared" ca="1" si="8"/>
        <v>0.19407639559407786</v>
      </c>
    </row>
    <row r="266" spans="7:7" x14ac:dyDescent="0.25">
      <c r="G266" s="131">
        <f t="shared" ca="1" si="8"/>
        <v>3.2159591528283862</v>
      </c>
    </row>
    <row r="267" spans="7:7" x14ac:dyDescent="0.25">
      <c r="G267" s="131">
        <f t="shared" ca="1" si="8"/>
        <v>0.28486536780608851</v>
      </c>
    </row>
    <row r="268" spans="7:7" x14ac:dyDescent="0.25">
      <c r="G268" s="131">
        <f t="shared" ca="1" si="8"/>
        <v>0.6696577861381614</v>
      </c>
    </row>
    <row r="269" spans="7:7" x14ac:dyDescent="0.25">
      <c r="G269" s="131">
        <f t="shared" ca="1" si="8"/>
        <v>0.22719032027575711</v>
      </c>
    </row>
    <row r="270" spans="7:7" x14ac:dyDescent="0.25">
      <c r="G270" s="131">
        <f t="shared" ca="1" si="8"/>
        <v>0.19386792554599591</v>
      </c>
    </row>
    <row r="271" spans="7:7" x14ac:dyDescent="0.25">
      <c r="G271" s="131">
        <f t="shared" ca="1" si="8"/>
        <v>0.31323114404529229</v>
      </c>
    </row>
    <row r="272" spans="7:7" x14ac:dyDescent="0.25">
      <c r="G272" s="131">
        <f t="shared" ca="1" si="8"/>
        <v>0.2238103642158458</v>
      </c>
    </row>
    <row r="273" spans="7:7" x14ac:dyDescent="0.25">
      <c r="G273" s="131">
        <f t="shared" ca="1" si="8"/>
        <v>1.2055175315253683</v>
      </c>
    </row>
    <row r="274" spans="7:7" x14ac:dyDescent="0.25">
      <c r="G274" s="131">
        <f t="shared" ca="1" si="8"/>
        <v>0.40699030671220721</v>
      </c>
    </row>
    <row r="275" spans="7:7" x14ac:dyDescent="0.25">
      <c r="G275" s="131">
        <f t="shared" ca="1" si="8"/>
        <v>0.42338068886007013</v>
      </c>
    </row>
    <row r="276" spans="7:7" x14ac:dyDescent="0.25">
      <c r="G276" s="131">
        <f t="shared" ca="1" si="8"/>
        <v>0.19976783592044689</v>
      </c>
    </row>
    <row r="277" spans="7:7" x14ac:dyDescent="0.25">
      <c r="G277" s="131">
        <f t="shared" ca="1" si="8"/>
        <v>1.4888141363005463</v>
      </c>
    </row>
    <row r="278" spans="7:7" x14ac:dyDescent="0.25">
      <c r="G278" s="131">
        <f t="shared" ca="1" si="8"/>
        <v>0.22878198040967065</v>
      </c>
    </row>
    <row r="279" spans="7:7" x14ac:dyDescent="0.25">
      <c r="G279" s="131">
        <f t="shared" ca="1" si="8"/>
        <v>0.44907149852522271</v>
      </c>
    </row>
    <row r="280" spans="7:7" x14ac:dyDescent="0.25">
      <c r="G280" s="131">
        <f t="shared" ca="1" si="8"/>
        <v>0.29738667144952791</v>
      </c>
    </row>
    <row r="281" spans="7:7" x14ac:dyDescent="0.25">
      <c r="G281" s="131">
        <f t="shared" ca="1" si="8"/>
        <v>0.67024526889560532</v>
      </c>
    </row>
    <row r="282" spans="7:7" x14ac:dyDescent="0.25">
      <c r="G282" s="131">
        <f t="shared" ca="1" si="8"/>
        <v>1.1832235281481183</v>
      </c>
    </row>
    <row r="283" spans="7:7" x14ac:dyDescent="0.25">
      <c r="G283" s="131">
        <f t="shared" ca="1" si="8"/>
        <v>0.32975415649479256</v>
      </c>
    </row>
    <row r="284" spans="7:7" x14ac:dyDescent="0.25">
      <c r="G284" s="131">
        <f t="shared" ca="1" si="8"/>
        <v>4.7284711317042163</v>
      </c>
    </row>
    <row r="285" spans="7:7" x14ac:dyDescent="0.25">
      <c r="G285" s="131">
        <f t="shared" ca="1" si="8"/>
        <v>0.42805542680009129</v>
      </c>
    </row>
    <row r="286" spans="7:7" x14ac:dyDescent="0.25">
      <c r="G286" s="131">
        <f t="shared" ca="1" si="8"/>
        <v>0.38679018155503642</v>
      </c>
    </row>
    <row r="287" spans="7:7" x14ac:dyDescent="0.25">
      <c r="G287" s="131">
        <f t="shared" ca="1" si="8"/>
        <v>0.62396733544993077</v>
      </c>
    </row>
    <row r="288" spans="7:7" x14ac:dyDescent="0.25">
      <c r="G288" s="131">
        <f t="shared" ca="1" si="8"/>
        <v>0.30610675225597839</v>
      </c>
    </row>
    <row r="289" spans="7:7" x14ac:dyDescent="0.25">
      <c r="G289" s="131">
        <f t="shared" ca="1" si="8"/>
        <v>0.27516011685076402</v>
      </c>
    </row>
    <row r="290" spans="7:7" x14ac:dyDescent="0.25">
      <c r="G290" s="131">
        <f t="shared" ca="1" si="8"/>
        <v>0.22146805734531311</v>
      </c>
    </row>
    <row r="291" spans="7:7" x14ac:dyDescent="0.25">
      <c r="G291" s="131">
        <f t="shared" ca="1" si="8"/>
        <v>0.29199387777054664</v>
      </c>
    </row>
    <row r="292" spans="7:7" x14ac:dyDescent="0.25">
      <c r="G292" s="131">
        <f t="shared" ca="1" si="8"/>
        <v>0.72143240732733516</v>
      </c>
    </row>
    <row r="293" spans="7:7" x14ac:dyDescent="0.25">
      <c r="G293" s="131">
        <f t="shared" ca="1" si="8"/>
        <v>13.568087203317985</v>
      </c>
    </row>
    <row r="294" spans="7:7" x14ac:dyDescent="0.25">
      <c r="G294" s="131">
        <f t="shared" ca="1" si="8"/>
        <v>0.29803214470800932</v>
      </c>
    </row>
    <row r="295" spans="7:7" x14ac:dyDescent="0.25">
      <c r="G295" s="131">
        <f t="shared" ca="1" si="8"/>
        <v>1.0052341164353025</v>
      </c>
    </row>
    <row r="296" spans="7:7" x14ac:dyDescent="0.25">
      <c r="G296" s="131">
        <f t="shared" ca="1" si="8"/>
        <v>0.24760958284557305</v>
      </c>
    </row>
    <row r="297" spans="7:7" x14ac:dyDescent="0.25">
      <c r="G297" s="131">
        <f t="shared" ca="1" si="8"/>
        <v>1.7282702617334922</v>
      </c>
    </row>
    <row r="298" spans="7:7" x14ac:dyDescent="0.25">
      <c r="G298" s="131">
        <f t="shared" ca="1" si="8"/>
        <v>0.40125993224133277</v>
      </c>
    </row>
    <row r="299" spans="7:7" x14ac:dyDescent="0.25">
      <c r="G299" s="131">
        <f t="shared" ca="1" si="8"/>
        <v>1.7624873008007698</v>
      </c>
    </row>
    <row r="300" spans="7:7" x14ac:dyDescent="0.25">
      <c r="G300" s="131">
        <f t="shared" ca="1" si="8"/>
        <v>0.45160069019914689</v>
      </c>
    </row>
    <row r="301" spans="7:7" x14ac:dyDescent="0.25">
      <c r="G301" s="131">
        <f t="shared" ca="1" si="8"/>
        <v>0.81731485077906763</v>
      </c>
    </row>
    <row r="302" spans="7:7" x14ac:dyDescent="0.25">
      <c r="G302" s="131">
        <f t="shared" ca="1" si="8"/>
        <v>0.43866832207056516</v>
      </c>
    </row>
    <row r="303" spans="7:7" x14ac:dyDescent="0.25">
      <c r="G303" s="131">
        <f t="shared" ca="1" si="8"/>
        <v>0.20481878883085422</v>
      </c>
    </row>
    <row r="304" spans="7:7" x14ac:dyDescent="0.25">
      <c r="G304" s="131">
        <f t="shared" ca="1" si="8"/>
        <v>0.20056214257487898</v>
      </c>
    </row>
    <row r="305" spans="7:7" x14ac:dyDescent="0.25">
      <c r="G305" s="131">
        <f t="shared" ca="1" si="8"/>
        <v>0.38742010282388206</v>
      </c>
    </row>
    <row r="306" spans="7:7" x14ac:dyDescent="0.25">
      <c r="G306" s="131">
        <f t="shared" ca="1" si="8"/>
        <v>0.29757260352402182</v>
      </c>
    </row>
    <row r="307" spans="7:7" x14ac:dyDescent="0.25">
      <c r="G307" s="131">
        <f t="shared" ca="1" si="8"/>
        <v>0.58222536515064538</v>
      </c>
    </row>
    <row r="308" spans="7:7" x14ac:dyDescent="0.25">
      <c r="G308" s="131">
        <f t="shared" ca="1" si="8"/>
        <v>0.22236463733685077</v>
      </c>
    </row>
    <row r="309" spans="7:7" x14ac:dyDescent="0.25">
      <c r="G309" s="131">
        <f t="shared" ca="1" si="8"/>
        <v>0.28491228586986755</v>
      </c>
    </row>
    <row r="310" spans="7:7" x14ac:dyDescent="0.25">
      <c r="G310" s="131">
        <f t="shared" ca="1" si="8"/>
        <v>0.26140128094275045</v>
      </c>
    </row>
    <row r="311" spans="7:7" x14ac:dyDescent="0.25">
      <c r="G311" s="131">
        <f t="shared" ca="1" si="8"/>
        <v>0.19870048441690602</v>
      </c>
    </row>
    <row r="312" spans="7:7" x14ac:dyDescent="0.25">
      <c r="G312" s="131">
        <f t="shared" ca="1" si="8"/>
        <v>0.54804741243513189</v>
      </c>
    </row>
    <row r="313" spans="7:7" x14ac:dyDescent="0.25">
      <c r="G313" s="131">
        <f t="shared" ca="1" si="8"/>
        <v>0.68269287306145876</v>
      </c>
    </row>
    <row r="314" spans="7:7" x14ac:dyDescent="0.25">
      <c r="G314" s="131">
        <f t="shared" ca="1" si="8"/>
        <v>0.6034381068528395</v>
      </c>
    </row>
    <row r="315" spans="7:7" x14ac:dyDescent="0.25">
      <c r="G315" s="131">
        <f t="shared" ca="1" si="8"/>
        <v>0.25789484416318781</v>
      </c>
    </row>
    <row r="316" spans="7:7" x14ac:dyDescent="0.25">
      <c r="G316" s="131">
        <f t="shared" ca="1" si="8"/>
        <v>0.32586834229442191</v>
      </c>
    </row>
    <row r="317" spans="7:7" x14ac:dyDescent="0.25">
      <c r="G317" s="131">
        <f t="shared" ca="1" si="8"/>
        <v>0.28327256186741634</v>
      </c>
    </row>
    <row r="318" spans="7:7" x14ac:dyDescent="0.25">
      <c r="G318" s="131">
        <f t="shared" ca="1" si="8"/>
        <v>0.30818760496470143</v>
      </c>
    </row>
    <row r="319" spans="7:7" x14ac:dyDescent="0.25">
      <c r="G319" s="131">
        <f t="shared" ca="1" si="8"/>
        <v>0.53523637918496081</v>
      </c>
    </row>
    <row r="320" spans="7:7" x14ac:dyDescent="0.25">
      <c r="G320" s="131">
        <f t="shared" ca="1" si="8"/>
        <v>0.98998572722236955</v>
      </c>
    </row>
    <row r="321" spans="7:7" x14ac:dyDescent="0.25">
      <c r="G321" s="131">
        <f t="shared" ca="1" si="8"/>
        <v>0.34435517543701094</v>
      </c>
    </row>
    <row r="322" spans="7:7" x14ac:dyDescent="0.25">
      <c r="G322" s="131">
        <f t="shared" ca="1" si="8"/>
        <v>0.67452611518702466</v>
      </c>
    </row>
    <row r="323" spans="7:7" x14ac:dyDescent="0.25">
      <c r="G323" s="131">
        <f t="shared" ca="1" si="8"/>
        <v>0.20586132574069294</v>
      </c>
    </row>
    <row r="324" spans="7:7" x14ac:dyDescent="0.25">
      <c r="G324" s="131">
        <f t="shared" ref="G324:G387" ca="1" si="9">_xlfn.WEIBULL.DIST(RAND(),0.52,1.3437,FALSE)</f>
        <v>0.70117972968219744</v>
      </c>
    </row>
    <row r="325" spans="7:7" x14ac:dyDescent="0.25">
      <c r="G325" s="131">
        <f t="shared" ca="1" si="9"/>
        <v>1.3089751182702141</v>
      </c>
    </row>
    <row r="326" spans="7:7" x14ac:dyDescent="0.25">
      <c r="G326" s="131">
        <f t="shared" ca="1" si="9"/>
        <v>0.3791724099125548</v>
      </c>
    </row>
    <row r="327" spans="7:7" x14ac:dyDescent="0.25">
      <c r="G327" s="131">
        <f t="shared" ca="1" si="9"/>
        <v>0.19330216264627709</v>
      </c>
    </row>
    <row r="328" spans="7:7" x14ac:dyDescent="0.25">
      <c r="G328" s="131">
        <f t="shared" ca="1" si="9"/>
        <v>0.2207149581980607</v>
      </c>
    </row>
    <row r="329" spans="7:7" x14ac:dyDescent="0.25">
      <c r="G329" s="131">
        <f t="shared" ca="1" si="9"/>
        <v>0.19879254920900127</v>
      </c>
    </row>
    <row r="330" spans="7:7" x14ac:dyDescent="0.25">
      <c r="G330" s="131">
        <f t="shared" ca="1" si="9"/>
        <v>0.39881684825976094</v>
      </c>
    </row>
    <row r="331" spans="7:7" x14ac:dyDescent="0.25">
      <c r="G331" s="131">
        <f t="shared" ca="1" si="9"/>
        <v>0.39741118066259545</v>
      </c>
    </row>
    <row r="332" spans="7:7" x14ac:dyDescent="0.25">
      <c r="G332" s="131">
        <f t="shared" ca="1" si="9"/>
        <v>0.26664907290586731</v>
      </c>
    </row>
    <row r="333" spans="7:7" x14ac:dyDescent="0.25">
      <c r="G333" s="131">
        <f t="shared" ca="1" si="9"/>
        <v>1.9849638138121317</v>
      </c>
    </row>
    <row r="334" spans="7:7" x14ac:dyDescent="0.25">
      <c r="G334" s="131">
        <f t="shared" ca="1" si="9"/>
        <v>0.33231265276407618</v>
      </c>
    </row>
    <row r="335" spans="7:7" x14ac:dyDescent="0.25">
      <c r="G335" s="131">
        <f t="shared" ca="1" si="9"/>
        <v>0.36432559361835781</v>
      </c>
    </row>
    <row r="336" spans="7:7" x14ac:dyDescent="0.25">
      <c r="G336" s="131">
        <f t="shared" ca="1" si="9"/>
        <v>0.53816572930585493</v>
      </c>
    </row>
    <row r="337" spans="7:7" x14ac:dyDescent="0.25">
      <c r="G337" s="131">
        <f t="shared" ca="1" si="9"/>
        <v>0.34998850574253199</v>
      </c>
    </row>
    <row r="338" spans="7:7" x14ac:dyDescent="0.25">
      <c r="G338" s="131">
        <f t="shared" ca="1" si="9"/>
        <v>0.58433117516832744</v>
      </c>
    </row>
    <row r="339" spans="7:7" x14ac:dyDescent="0.25">
      <c r="G339" s="131">
        <f t="shared" ca="1" si="9"/>
        <v>0.33086648916397021</v>
      </c>
    </row>
    <row r="340" spans="7:7" x14ac:dyDescent="0.25">
      <c r="G340" s="131">
        <f t="shared" ca="1" si="9"/>
        <v>0.37084163032032669</v>
      </c>
    </row>
    <row r="341" spans="7:7" x14ac:dyDescent="0.25">
      <c r="G341" s="131">
        <f t="shared" ca="1" si="9"/>
        <v>0.46181349777109848</v>
      </c>
    </row>
    <row r="342" spans="7:7" x14ac:dyDescent="0.25">
      <c r="G342" s="131">
        <f t="shared" ca="1" si="9"/>
        <v>0.2615550491078712</v>
      </c>
    </row>
    <row r="343" spans="7:7" x14ac:dyDescent="0.25">
      <c r="G343" s="131">
        <f t="shared" ca="1" si="9"/>
        <v>0.55285789849438993</v>
      </c>
    </row>
    <row r="344" spans="7:7" x14ac:dyDescent="0.25">
      <c r="G344" s="131">
        <f t="shared" ca="1" si="9"/>
        <v>0.41582059895357948</v>
      </c>
    </row>
    <row r="345" spans="7:7" x14ac:dyDescent="0.25">
      <c r="G345" s="131">
        <f t="shared" ca="1" si="9"/>
        <v>0.233145054579458</v>
      </c>
    </row>
    <row r="346" spans="7:7" x14ac:dyDescent="0.25">
      <c r="G346" s="131">
        <f t="shared" ca="1" si="9"/>
        <v>0.35643915875489057</v>
      </c>
    </row>
    <row r="347" spans="7:7" x14ac:dyDescent="0.25">
      <c r="G347" s="131">
        <f t="shared" ca="1" si="9"/>
        <v>0.26747084234656349</v>
      </c>
    </row>
    <row r="348" spans="7:7" x14ac:dyDescent="0.25">
      <c r="G348" s="131">
        <f t="shared" ca="1" si="9"/>
        <v>0.20694741409326858</v>
      </c>
    </row>
    <row r="349" spans="7:7" x14ac:dyDescent="0.25">
      <c r="G349" s="131">
        <f t="shared" ca="1" si="9"/>
        <v>0.43206279610871623</v>
      </c>
    </row>
    <row r="350" spans="7:7" x14ac:dyDescent="0.25">
      <c r="G350" s="131">
        <f t="shared" ca="1" si="9"/>
        <v>2.3297017571038792</v>
      </c>
    </row>
    <row r="351" spans="7:7" x14ac:dyDescent="0.25">
      <c r="G351" s="131">
        <f t="shared" ca="1" si="9"/>
        <v>0.26746938512736285</v>
      </c>
    </row>
    <row r="352" spans="7:7" x14ac:dyDescent="0.25">
      <c r="G352" s="131">
        <f t="shared" ca="1" si="9"/>
        <v>0.35333834687208043</v>
      </c>
    </row>
    <row r="353" spans="7:7" x14ac:dyDescent="0.25">
      <c r="G353" s="131">
        <f t="shared" ca="1" si="9"/>
        <v>0.3152443337754634</v>
      </c>
    </row>
    <row r="354" spans="7:7" x14ac:dyDescent="0.25">
      <c r="G354" s="131">
        <f t="shared" ca="1" si="9"/>
        <v>0.45263487351733139</v>
      </c>
    </row>
    <row r="355" spans="7:7" x14ac:dyDescent="0.25">
      <c r="G355" s="131">
        <f t="shared" ca="1" si="9"/>
        <v>0.39720831850035171</v>
      </c>
    </row>
    <row r="356" spans="7:7" x14ac:dyDescent="0.25">
      <c r="G356" s="131">
        <f t="shared" ca="1" si="9"/>
        <v>5.3364998384507292</v>
      </c>
    </row>
    <row r="357" spans="7:7" x14ac:dyDescent="0.25">
      <c r="G357" s="131">
        <f t="shared" ca="1" si="9"/>
        <v>0.21464061414462646</v>
      </c>
    </row>
    <row r="358" spans="7:7" x14ac:dyDescent="0.25">
      <c r="G358" s="131">
        <f t="shared" ca="1" si="9"/>
        <v>0.46100584767361363</v>
      </c>
    </row>
    <row r="359" spans="7:7" x14ac:dyDescent="0.25">
      <c r="G359" s="131">
        <f t="shared" ca="1" si="9"/>
        <v>0.19413592287026721</v>
      </c>
    </row>
    <row r="360" spans="7:7" x14ac:dyDescent="0.25">
      <c r="G360" s="131">
        <f t="shared" ca="1" si="9"/>
        <v>0.24604887666030678</v>
      </c>
    </row>
    <row r="361" spans="7:7" x14ac:dyDescent="0.25">
      <c r="G361" s="131">
        <f t="shared" ca="1" si="9"/>
        <v>0.20779846135054883</v>
      </c>
    </row>
    <row r="362" spans="7:7" x14ac:dyDescent="0.25">
      <c r="G362" s="131">
        <f t="shared" ca="1" si="9"/>
        <v>0.60198756539755494</v>
      </c>
    </row>
    <row r="363" spans="7:7" x14ac:dyDescent="0.25">
      <c r="G363" s="131">
        <f t="shared" ca="1" si="9"/>
        <v>0.4196249236937144</v>
      </c>
    </row>
    <row r="364" spans="7:7" x14ac:dyDescent="0.25">
      <c r="G364" s="131">
        <f t="shared" ca="1" si="9"/>
        <v>0.31221790107599889</v>
      </c>
    </row>
    <row r="365" spans="7:7" x14ac:dyDescent="0.25">
      <c r="G365" s="131">
        <f t="shared" ca="1" si="9"/>
        <v>0.61878896058710087</v>
      </c>
    </row>
    <row r="366" spans="7:7" x14ac:dyDescent="0.25">
      <c r="G366" s="131">
        <f t="shared" ca="1" si="9"/>
        <v>0.40467146675413479</v>
      </c>
    </row>
    <row r="367" spans="7:7" x14ac:dyDescent="0.25">
      <c r="G367" s="131">
        <f t="shared" ca="1" si="9"/>
        <v>0.27118346404902521</v>
      </c>
    </row>
    <row r="368" spans="7:7" x14ac:dyDescent="0.25">
      <c r="G368" s="131">
        <f t="shared" ca="1" si="9"/>
        <v>0.33979796534190687</v>
      </c>
    </row>
    <row r="369" spans="7:7" x14ac:dyDescent="0.25">
      <c r="G369" s="131">
        <f t="shared" ca="1" si="9"/>
        <v>1.4404785480186275</v>
      </c>
    </row>
    <row r="370" spans="7:7" x14ac:dyDescent="0.25">
      <c r="G370" s="131">
        <f t="shared" ca="1" si="9"/>
        <v>0.2038575231311491</v>
      </c>
    </row>
    <row r="371" spans="7:7" x14ac:dyDescent="0.25">
      <c r="G371" s="131">
        <f t="shared" ca="1" si="9"/>
        <v>4.7736073511821955</v>
      </c>
    </row>
    <row r="372" spans="7:7" x14ac:dyDescent="0.25">
      <c r="G372" s="131">
        <f t="shared" ca="1" si="9"/>
        <v>0.33956895283259653</v>
      </c>
    </row>
    <row r="373" spans="7:7" x14ac:dyDescent="0.25">
      <c r="G373" s="131">
        <f t="shared" ca="1" si="9"/>
        <v>0.33241155584551318</v>
      </c>
    </row>
    <row r="374" spans="7:7" x14ac:dyDescent="0.25">
      <c r="G374" s="131">
        <f t="shared" ca="1" si="9"/>
        <v>0.25287144077250229</v>
      </c>
    </row>
    <row r="375" spans="7:7" x14ac:dyDescent="0.25">
      <c r="G375" s="131">
        <f t="shared" ca="1" si="9"/>
        <v>0.28484398008881828</v>
      </c>
    </row>
    <row r="376" spans="7:7" x14ac:dyDescent="0.25">
      <c r="G376" s="131">
        <f t="shared" ca="1" si="9"/>
        <v>0.20296913987973278</v>
      </c>
    </row>
    <row r="377" spans="7:7" x14ac:dyDescent="0.25">
      <c r="G377" s="131">
        <f t="shared" ca="1" si="9"/>
        <v>0.3698319369765416</v>
      </c>
    </row>
    <row r="378" spans="7:7" x14ac:dyDescent="0.25">
      <c r="G378" s="131">
        <f t="shared" ca="1" si="9"/>
        <v>0.66482352729118799</v>
      </c>
    </row>
    <row r="379" spans="7:7" x14ac:dyDescent="0.25">
      <c r="G379" s="131">
        <f t="shared" ca="1" si="9"/>
        <v>0.2477981369721792</v>
      </c>
    </row>
    <row r="380" spans="7:7" x14ac:dyDescent="0.25">
      <c r="G380" s="131">
        <f t="shared" ca="1" si="9"/>
        <v>0.55582758356684558</v>
      </c>
    </row>
    <row r="381" spans="7:7" x14ac:dyDescent="0.25">
      <c r="G381" s="131">
        <f t="shared" ca="1" si="9"/>
        <v>0.31800792891129903</v>
      </c>
    </row>
    <row r="382" spans="7:7" x14ac:dyDescent="0.25">
      <c r="G382" s="131">
        <f t="shared" ca="1" si="9"/>
        <v>0.23984214461369749</v>
      </c>
    </row>
    <row r="383" spans="7:7" x14ac:dyDescent="0.25">
      <c r="G383" s="131">
        <f t="shared" ca="1" si="9"/>
        <v>1.9069876816372069</v>
      </c>
    </row>
    <row r="384" spans="7:7" x14ac:dyDescent="0.25">
      <c r="G384" s="131">
        <f t="shared" ca="1" si="9"/>
        <v>0.19147067408560067</v>
      </c>
    </row>
    <row r="385" spans="7:7" x14ac:dyDescent="0.25">
      <c r="G385" s="131">
        <f t="shared" ca="1" si="9"/>
        <v>0.20889043612877312</v>
      </c>
    </row>
    <row r="386" spans="7:7" x14ac:dyDescent="0.25">
      <c r="G386" s="131">
        <f t="shared" ca="1" si="9"/>
        <v>3.5676928178399678</v>
      </c>
    </row>
    <row r="387" spans="7:7" x14ac:dyDescent="0.25">
      <c r="G387" s="131">
        <f t="shared" ca="1" si="9"/>
        <v>0.48197193463579474</v>
      </c>
    </row>
    <row r="388" spans="7:7" x14ac:dyDescent="0.25">
      <c r="G388" s="131">
        <f t="shared" ref="G388:G451" ca="1" si="10">_xlfn.WEIBULL.DIST(RAND(),0.52,1.3437,FALSE)</f>
        <v>0.39603184254419455</v>
      </c>
    </row>
    <row r="389" spans="7:7" x14ac:dyDescent="0.25">
      <c r="G389" s="131">
        <f t="shared" ca="1" si="10"/>
        <v>0.30692573032205084</v>
      </c>
    </row>
    <row r="390" spans="7:7" x14ac:dyDescent="0.25">
      <c r="G390" s="131">
        <f t="shared" ca="1" si="10"/>
        <v>0.48707754878036758</v>
      </c>
    </row>
    <row r="391" spans="7:7" x14ac:dyDescent="0.25">
      <c r="G391" s="131">
        <f t="shared" ca="1" si="10"/>
        <v>0.19270618492055341</v>
      </c>
    </row>
    <row r="392" spans="7:7" x14ac:dyDescent="0.25">
      <c r="G392" s="131">
        <f t="shared" ca="1" si="10"/>
        <v>2.8056034581970928</v>
      </c>
    </row>
    <row r="393" spans="7:7" x14ac:dyDescent="0.25">
      <c r="G393" s="131">
        <f t="shared" ca="1" si="10"/>
        <v>2.5769290770132116</v>
      </c>
    </row>
    <row r="394" spans="7:7" x14ac:dyDescent="0.25">
      <c r="G394" s="131">
        <f t="shared" ca="1" si="10"/>
        <v>0.20401425058071704</v>
      </c>
    </row>
    <row r="395" spans="7:7" x14ac:dyDescent="0.25">
      <c r="G395" s="131">
        <f t="shared" ca="1" si="10"/>
        <v>0.62769875457326396</v>
      </c>
    </row>
    <row r="396" spans="7:7" x14ac:dyDescent="0.25">
      <c r="G396" s="131">
        <f t="shared" ca="1" si="10"/>
        <v>1.3718776292577504</v>
      </c>
    </row>
    <row r="397" spans="7:7" x14ac:dyDescent="0.25">
      <c r="G397" s="131">
        <f t="shared" ca="1" si="10"/>
        <v>0.27958413642962138</v>
      </c>
    </row>
    <row r="398" spans="7:7" x14ac:dyDescent="0.25">
      <c r="G398" s="131">
        <f t="shared" ca="1" si="10"/>
        <v>0.25471670266385738</v>
      </c>
    </row>
    <row r="399" spans="7:7" x14ac:dyDescent="0.25">
      <c r="G399" s="131">
        <f t="shared" ca="1" si="10"/>
        <v>0.26482070856935591</v>
      </c>
    </row>
    <row r="400" spans="7:7" x14ac:dyDescent="0.25">
      <c r="G400" s="131">
        <f t="shared" ca="1" si="10"/>
        <v>0.36812591022959285</v>
      </c>
    </row>
    <row r="401" spans="7:7" x14ac:dyDescent="0.25">
      <c r="G401" s="131">
        <f t="shared" ca="1" si="10"/>
        <v>0.79600618830998437</v>
      </c>
    </row>
    <row r="402" spans="7:7" x14ac:dyDescent="0.25">
      <c r="G402" s="131">
        <f t="shared" ca="1" si="10"/>
        <v>0.22089427965168096</v>
      </c>
    </row>
    <row r="403" spans="7:7" x14ac:dyDescent="0.25">
      <c r="G403" s="131">
        <f t="shared" ca="1" si="10"/>
        <v>0.32078143775683743</v>
      </c>
    </row>
    <row r="404" spans="7:7" x14ac:dyDescent="0.25">
      <c r="G404" s="131">
        <f t="shared" ca="1" si="10"/>
        <v>0.3264125360307007</v>
      </c>
    </row>
    <row r="405" spans="7:7" x14ac:dyDescent="0.25">
      <c r="G405" s="131">
        <f t="shared" ca="1" si="10"/>
        <v>0.28585690779491618</v>
      </c>
    </row>
    <row r="406" spans="7:7" x14ac:dyDescent="0.25">
      <c r="G406" s="131">
        <f t="shared" ca="1" si="10"/>
        <v>0.24155643994245107</v>
      </c>
    </row>
    <row r="407" spans="7:7" x14ac:dyDescent="0.25">
      <c r="G407" s="131">
        <f t="shared" ca="1" si="10"/>
        <v>0.37661968826435077</v>
      </c>
    </row>
    <row r="408" spans="7:7" x14ac:dyDescent="0.25">
      <c r="G408" s="131">
        <f t="shared" ca="1" si="10"/>
        <v>1.605737238261798</v>
      </c>
    </row>
    <row r="409" spans="7:7" x14ac:dyDescent="0.25">
      <c r="G409" s="131">
        <f t="shared" ca="1" si="10"/>
        <v>0.22726652161698122</v>
      </c>
    </row>
    <row r="410" spans="7:7" x14ac:dyDescent="0.25">
      <c r="G410" s="131">
        <f t="shared" ca="1" si="10"/>
        <v>0.4236293484065366</v>
      </c>
    </row>
    <row r="411" spans="7:7" x14ac:dyDescent="0.25">
      <c r="G411" s="131">
        <f t="shared" ca="1" si="10"/>
        <v>0.47321965992002407</v>
      </c>
    </row>
    <row r="412" spans="7:7" x14ac:dyDescent="0.25">
      <c r="G412" s="131">
        <f t="shared" ca="1" si="10"/>
        <v>0.23556598312157664</v>
      </c>
    </row>
    <row r="413" spans="7:7" x14ac:dyDescent="0.25">
      <c r="G413" s="131">
        <f t="shared" ca="1" si="10"/>
        <v>2.5632450948366317</v>
      </c>
    </row>
    <row r="414" spans="7:7" x14ac:dyDescent="0.25">
      <c r="G414" s="131">
        <f t="shared" ca="1" si="10"/>
        <v>0.26051155045627727</v>
      </c>
    </row>
    <row r="415" spans="7:7" x14ac:dyDescent="0.25">
      <c r="G415" s="131">
        <f t="shared" ca="1" si="10"/>
        <v>0.52164084246994702</v>
      </c>
    </row>
    <row r="416" spans="7:7" x14ac:dyDescent="0.25">
      <c r="G416" s="131">
        <f t="shared" ca="1" si="10"/>
        <v>0.80089415716468781</v>
      </c>
    </row>
    <row r="417" spans="7:7" x14ac:dyDescent="0.25">
      <c r="G417" s="131">
        <f t="shared" ca="1" si="10"/>
        <v>0.22394153403128417</v>
      </c>
    </row>
    <row r="418" spans="7:7" x14ac:dyDescent="0.25">
      <c r="G418" s="131">
        <f t="shared" ca="1" si="10"/>
        <v>0.24633823510209499</v>
      </c>
    </row>
    <row r="419" spans="7:7" x14ac:dyDescent="0.25">
      <c r="G419" s="131">
        <f t="shared" ca="1" si="10"/>
        <v>0.32275567974722413</v>
      </c>
    </row>
    <row r="420" spans="7:7" x14ac:dyDescent="0.25">
      <c r="G420" s="131">
        <f t="shared" ca="1" si="10"/>
        <v>1.0141599874221809</v>
      </c>
    </row>
    <row r="421" spans="7:7" x14ac:dyDescent="0.25">
      <c r="G421" s="131">
        <f t="shared" ca="1" si="10"/>
        <v>0.73782591586605895</v>
      </c>
    </row>
    <row r="422" spans="7:7" x14ac:dyDescent="0.25">
      <c r="G422" s="131">
        <f t="shared" ca="1" si="10"/>
        <v>0.33373498553659842</v>
      </c>
    </row>
    <row r="423" spans="7:7" x14ac:dyDescent="0.25">
      <c r="G423" s="131">
        <f t="shared" ca="1" si="10"/>
        <v>0.20109115582160306</v>
      </c>
    </row>
    <row r="424" spans="7:7" x14ac:dyDescent="0.25">
      <c r="G424" s="131">
        <f t="shared" ca="1" si="10"/>
        <v>0.35244123450414983</v>
      </c>
    </row>
    <row r="425" spans="7:7" x14ac:dyDescent="0.25">
      <c r="G425" s="131">
        <f t="shared" ca="1" si="10"/>
        <v>0.47941333900219446</v>
      </c>
    </row>
    <row r="426" spans="7:7" x14ac:dyDescent="0.25">
      <c r="G426" s="131">
        <f t="shared" ca="1" si="10"/>
        <v>0.39448226990594154</v>
      </c>
    </row>
    <row r="427" spans="7:7" x14ac:dyDescent="0.25">
      <c r="G427" s="131">
        <f t="shared" ca="1" si="10"/>
        <v>0.85958942092011292</v>
      </c>
    </row>
    <row r="428" spans="7:7" x14ac:dyDescent="0.25">
      <c r="G428" s="131">
        <f t="shared" ca="1" si="10"/>
        <v>1.1104010614417565</v>
      </c>
    </row>
    <row r="429" spans="7:7" x14ac:dyDescent="0.25">
      <c r="G429" s="131">
        <f t="shared" ca="1" si="10"/>
        <v>0.36915977435443026</v>
      </c>
    </row>
    <row r="430" spans="7:7" x14ac:dyDescent="0.25">
      <c r="G430" s="131">
        <f t="shared" ca="1" si="10"/>
        <v>0.22562224850706769</v>
      </c>
    </row>
    <row r="431" spans="7:7" x14ac:dyDescent="0.25">
      <c r="G431" s="131">
        <f t="shared" ca="1" si="10"/>
        <v>0.20037567308956455</v>
      </c>
    </row>
    <row r="432" spans="7:7" x14ac:dyDescent="0.25">
      <c r="G432" s="131">
        <f t="shared" ca="1" si="10"/>
        <v>0.68642174246964838</v>
      </c>
    </row>
    <row r="433" spans="7:7" x14ac:dyDescent="0.25">
      <c r="G433" s="131">
        <f t="shared" ca="1" si="10"/>
        <v>0.2014195026333174</v>
      </c>
    </row>
    <row r="434" spans="7:7" x14ac:dyDescent="0.25">
      <c r="G434" s="131">
        <f t="shared" ca="1" si="10"/>
        <v>0.47401839902564458</v>
      </c>
    </row>
    <row r="435" spans="7:7" x14ac:dyDescent="0.25">
      <c r="G435" s="131">
        <f t="shared" ca="1" si="10"/>
        <v>0.49410398414917905</v>
      </c>
    </row>
    <row r="436" spans="7:7" x14ac:dyDescent="0.25">
      <c r="G436" s="131">
        <f t="shared" ca="1" si="10"/>
        <v>0.87351118186270649</v>
      </c>
    </row>
    <row r="437" spans="7:7" x14ac:dyDescent="0.25">
      <c r="G437" s="131">
        <f t="shared" ca="1" si="10"/>
        <v>0.57488581838637953</v>
      </c>
    </row>
    <row r="438" spans="7:7" x14ac:dyDescent="0.25">
      <c r="G438" s="131">
        <f t="shared" ca="1" si="10"/>
        <v>0.37531962788074513</v>
      </c>
    </row>
    <row r="439" spans="7:7" x14ac:dyDescent="0.25">
      <c r="G439" s="131">
        <f t="shared" ca="1" si="10"/>
        <v>0.25687623594567954</v>
      </c>
    </row>
    <row r="440" spans="7:7" x14ac:dyDescent="0.25">
      <c r="G440" s="131">
        <f t="shared" ca="1" si="10"/>
        <v>0.71182947204167091</v>
      </c>
    </row>
    <row r="441" spans="7:7" x14ac:dyDescent="0.25">
      <c r="G441" s="131">
        <f t="shared" ca="1" si="10"/>
        <v>0.58505606386638587</v>
      </c>
    </row>
    <row r="442" spans="7:7" x14ac:dyDescent="0.25">
      <c r="G442" s="131">
        <f t="shared" ca="1" si="10"/>
        <v>0.30333487061030923</v>
      </c>
    </row>
    <row r="443" spans="7:7" x14ac:dyDescent="0.25">
      <c r="G443" s="131">
        <f t="shared" ca="1" si="10"/>
        <v>0.4120331334821537</v>
      </c>
    </row>
    <row r="444" spans="7:7" x14ac:dyDescent="0.25">
      <c r="G444" s="131">
        <f t="shared" ca="1" si="10"/>
        <v>0.86887641365045931</v>
      </c>
    </row>
    <row r="445" spans="7:7" x14ac:dyDescent="0.25">
      <c r="G445" s="131">
        <f t="shared" ca="1" si="10"/>
        <v>0.27357544212918466</v>
      </c>
    </row>
    <row r="446" spans="7:7" x14ac:dyDescent="0.25">
      <c r="G446" s="131">
        <f t="shared" ca="1" si="10"/>
        <v>0.22880672329710172</v>
      </c>
    </row>
    <row r="447" spans="7:7" x14ac:dyDescent="0.25">
      <c r="G447" s="131">
        <f t="shared" ca="1" si="10"/>
        <v>4.5432971000107756</v>
      </c>
    </row>
    <row r="448" spans="7:7" x14ac:dyDescent="0.25">
      <c r="G448" s="131">
        <f t="shared" ca="1" si="10"/>
        <v>0.225749647744861</v>
      </c>
    </row>
    <row r="449" spans="7:7" x14ac:dyDescent="0.25">
      <c r="G449" s="131">
        <f t="shared" ca="1" si="10"/>
        <v>0.27738251925887913</v>
      </c>
    </row>
    <row r="450" spans="7:7" x14ac:dyDescent="0.25">
      <c r="G450" s="131">
        <f t="shared" ca="1" si="10"/>
        <v>0.19874913022639409</v>
      </c>
    </row>
    <row r="451" spans="7:7" x14ac:dyDescent="0.25">
      <c r="G451" s="131">
        <f t="shared" ca="1" si="10"/>
        <v>0.2484104363013234</v>
      </c>
    </row>
    <row r="452" spans="7:7" x14ac:dyDescent="0.25">
      <c r="G452" s="131">
        <f t="shared" ref="G452:G515" ca="1" si="11">_xlfn.WEIBULL.DIST(RAND(),0.52,1.3437,FALSE)</f>
        <v>0.55586967795187092</v>
      </c>
    </row>
    <row r="453" spans="7:7" x14ac:dyDescent="0.25">
      <c r="G453" s="131">
        <f t="shared" ca="1" si="11"/>
        <v>0.53685741845479362</v>
      </c>
    </row>
    <row r="454" spans="7:7" x14ac:dyDescent="0.25">
      <c r="G454" s="131">
        <f t="shared" ca="1" si="11"/>
        <v>0.42963846211883833</v>
      </c>
    </row>
    <row r="455" spans="7:7" x14ac:dyDescent="0.25">
      <c r="G455" s="131">
        <f t="shared" ca="1" si="11"/>
        <v>0.19485901613207168</v>
      </c>
    </row>
    <row r="456" spans="7:7" x14ac:dyDescent="0.25">
      <c r="G456" s="131">
        <f t="shared" ca="1" si="11"/>
        <v>0.67186047838595786</v>
      </c>
    </row>
    <row r="457" spans="7:7" x14ac:dyDescent="0.25">
      <c r="G457" s="131">
        <f t="shared" ca="1" si="11"/>
        <v>0.23913649116666486</v>
      </c>
    </row>
    <row r="458" spans="7:7" x14ac:dyDescent="0.25">
      <c r="G458" s="131">
        <f t="shared" ca="1" si="11"/>
        <v>0.27205329138013201</v>
      </c>
    </row>
    <row r="459" spans="7:7" x14ac:dyDescent="0.25">
      <c r="G459" s="131">
        <f t="shared" ca="1" si="11"/>
        <v>0.38564701519330385</v>
      </c>
    </row>
    <row r="460" spans="7:7" x14ac:dyDescent="0.25">
      <c r="G460" s="131">
        <f t="shared" ca="1" si="11"/>
        <v>0.20029404201678325</v>
      </c>
    </row>
    <row r="461" spans="7:7" x14ac:dyDescent="0.25">
      <c r="G461" s="131">
        <f t="shared" ca="1" si="11"/>
        <v>0.7068946993071421</v>
      </c>
    </row>
    <row r="462" spans="7:7" x14ac:dyDescent="0.25">
      <c r="G462" s="131">
        <f t="shared" ca="1" si="11"/>
        <v>0.22278139738605571</v>
      </c>
    </row>
    <row r="463" spans="7:7" x14ac:dyDescent="0.25">
      <c r="G463" s="131">
        <f t="shared" ca="1" si="11"/>
        <v>0.2378979759278407</v>
      </c>
    </row>
    <row r="464" spans="7:7" x14ac:dyDescent="0.25">
      <c r="G464" s="131">
        <f t="shared" ca="1" si="11"/>
        <v>1.4129826530167613</v>
      </c>
    </row>
    <row r="465" spans="7:7" x14ac:dyDescent="0.25">
      <c r="G465" s="131">
        <f t="shared" ca="1" si="11"/>
        <v>0.23150925849891085</v>
      </c>
    </row>
    <row r="466" spans="7:7" x14ac:dyDescent="0.25">
      <c r="G466" s="131">
        <f t="shared" ca="1" si="11"/>
        <v>0.57111877341990547</v>
      </c>
    </row>
    <row r="467" spans="7:7" x14ac:dyDescent="0.25">
      <c r="G467" s="131">
        <f t="shared" ca="1" si="11"/>
        <v>0.4493921941165247</v>
      </c>
    </row>
    <row r="468" spans="7:7" x14ac:dyDescent="0.25">
      <c r="G468" s="131">
        <f t="shared" ca="1" si="11"/>
        <v>0.97100879881322999</v>
      </c>
    </row>
    <row r="469" spans="7:7" x14ac:dyDescent="0.25">
      <c r="G469" s="131">
        <f t="shared" ca="1" si="11"/>
        <v>0.52181414811663873</v>
      </c>
    </row>
    <row r="470" spans="7:7" x14ac:dyDescent="0.25">
      <c r="G470" s="131">
        <f t="shared" ca="1" si="11"/>
        <v>0.21761130983111751</v>
      </c>
    </row>
    <row r="471" spans="7:7" x14ac:dyDescent="0.25">
      <c r="G471" s="131">
        <f t="shared" ca="1" si="11"/>
        <v>0.26497951284467014</v>
      </c>
    </row>
    <row r="472" spans="7:7" x14ac:dyDescent="0.25">
      <c r="G472" s="131">
        <f t="shared" ca="1" si="11"/>
        <v>0.77266593910776715</v>
      </c>
    </row>
    <row r="473" spans="7:7" x14ac:dyDescent="0.25">
      <c r="G473" s="131">
        <f t="shared" ca="1" si="11"/>
        <v>0.20377075551564416</v>
      </c>
    </row>
    <row r="474" spans="7:7" x14ac:dyDescent="0.25">
      <c r="G474" s="131">
        <f t="shared" ca="1" si="11"/>
        <v>0.77470256058935583</v>
      </c>
    </row>
    <row r="475" spans="7:7" x14ac:dyDescent="0.25">
      <c r="G475" s="131">
        <f t="shared" ca="1" si="11"/>
        <v>1.0362041330942853</v>
      </c>
    </row>
    <row r="476" spans="7:7" x14ac:dyDescent="0.25">
      <c r="G476" s="131">
        <f t="shared" ca="1" si="11"/>
        <v>0.34062567613217709</v>
      </c>
    </row>
    <row r="477" spans="7:7" x14ac:dyDescent="0.25">
      <c r="G477" s="131">
        <f t="shared" ca="1" si="11"/>
        <v>0.42399173925407851</v>
      </c>
    </row>
    <row r="478" spans="7:7" x14ac:dyDescent="0.25">
      <c r="G478" s="131">
        <f t="shared" ca="1" si="11"/>
        <v>0.19907103360301132</v>
      </c>
    </row>
    <row r="479" spans="7:7" x14ac:dyDescent="0.25">
      <c r="G479" s="131">
        <f t="shared" ca="1" si="11"/>
        <v>0.19257338030416898</v>
      </c>
    </row>
    <row r="480" spans="7:7" x14ac:dyDescent="0.25">
      <c r="G480" s="131">
        <f t="shared" ca="1" si="11"/>
        <v>0.62298589737281729</v>
      </c>
    </row>
    <row r="481" spans="7:7" x14ac:dyDescent="0.25">
      <c r="G481" s="131">
        <f t="shared" ca="1" si="11"/>
        <v>0.2857450275718898</v>
      </c>
    </row>
    <row r="482" spans="7:7" x14ac:dyDescent="0.25">
      <c r="G482" s="131">
        <f t="shared" ca="1" si="11"/>
        <v>0.28452702482093184</v>
      </c>
    </row>
    <row r="483" spans="7:7" x14ac:dyDescent="0.25">
      <c r="G483" s="131">
        <f t="shared" ca="1" si="11"/>
        <v>2.9154359126027618</v>
      </c>
    </row>
    <row r="484" spans="7:7" x14ac:dyDescent="0.25">
      <c r="G484" s="131">
        <f t="shared" ca="1" si="11"/>
        <v>0.83345369326558927</v>
      </c>
    </row>
    <row r="485" spans="7:7" x14ac:dyDescent="0.25">
      <c r="G485" s="131">
        <f t="shared" ca="1" si="11"/>
        <v>3.3319760042784172</v>
      </c>
    </row>
    <row r="486" spans="7:7" x14ac:dyDescent="0.25">
      <c r="G486" s="131">
        <f t="shared" ca="1" si="11"/>
        <v>0.88654183968077316</v>
      </c>
    </row>
    <row r="487" spans="7:7" x14ac:dyDescent="0.25">
      <c r="G487" s="131">
        <f t="shared" ca="1" si="11"/>
        <v>0.28241008137947149</v>
      </c>
    </row>
    <row r="488" spans="7:7" x14ac:dyDescent="0.25">
      <c r="G488" s="131">
        <f t="shared" ca="1" si="11"/>
        <v>0.4550357619173071</v>
      </c>
    </row>
    <row r="489" spans="7:7" x14ac:dyDescent="0.25">
      <c r="G489" s="131">
        <f t="shared" ca="1" si="11"/>
        <v>3.1739858286246911</v>
      </c>
    </row>
    <row r="490" spans="7:7" x14ac:dyDescent="0.25">
      <c r="G490" s="131">
        <f t="shared" ca="1" si="11"/>
        <v>0.56962283488663201</v>
      </c>
    </row>
    <row r="491" spans="7:7" x14ac:dyDescent="0.25">
      <c r="G491" s="131">
        <f t="shared" ca="1" si="11"/>
        <v>0.34493288996930715</v>
      </c>
    </row>
    <row r="492" spans="7:7" x14ac:dyDescent="0.25">
      <c r="G492" s="131">
        <f t="shared" ca="1" si="11"/>
        <v>0.92532657045082112</v>
      </c>
    </row>
    <row r="493" spans="7:7" x14ac:dyDescent="0.25">
      <c r="G493" s="131">
        <f t="shared" ca="1" si="11"/>
        <v>0.19116842398573528</v>
      </c>
    </row>
    <row r="494" spans="7:7" x14ac:dyDescent="0.25">
      <c r="G494" s="131">
        <f t="shared" ca="1" si="11"/>
        <v>0.19561649090222097</v>
      </c>
    </row>
    <row r="495" spans="7:7" x14ac:dyDescent="0.25">
      <c r="G495" s="131">
        <f t="shared" ca="1" si="11"/>
        <v>2.2544192379622978</v>
      </c>
    </row>
    <row r="496" spans="7:7" x14ac:dyDescent="0.25">
      <c r="G496" s="131">
        <f t="shared" ca="1" si="11"/>
        <v>0.22855199953192396</v>
      </c>
    </row>
    <row r="497" spans="7:7" x14ac:dyDescent="0.25">
      <c r="G497" s="131">
        <f t="shared" ca="1" si="11"/>
        <v>6.9642442243609315</v>
      </c>
    </row>
    <row r="498" spans="7:7" x14ac:dyDescent="0.25">
      <c r="G498" s="131">
        <f t="shared" ca="1" si="11"/>
        <v>0.27754827312317065</v>
      </c>
    </row>
    <row r="499" spans="7:7" x14ac:dyDescent="0.25">
      <c r="G499" s="131">
        <f t="shared" ca="1" si="11"/>
        <v>0.36617520676707416</v>
      </c>
    </row>
    <row r="500" spans="7:7" x14ac:dyDescent="0.25">
      <c r="G500" s="131">
        <f t="shared" ca="1" si="11"/>
        <v>0.2317026305668887</v>
      </c>
    </row>
    <row r="501" spans="7:7" x14ac:dyDescent="0.25">
      <c r="G501" s="131">
        <f t="shared" ca="1" si="11"/>
        <v>0.68596125671618924</v>
      </c>
    </row>
    <row r="502" spans="7:7" x14ac:dyDescent="0.25">
      <c r="G502" s="131">
        <f t="shared" ca="1" si="11"/>
        <v>0.95896598581946402</v>
      </c>
    </row>
    <row r="503" spans="7:7" x14ac:dyDescent="0.25">
      <c r="G503" s="131">
        <f t="shared" ca="1" si="11"/>
        <v>0.23995456067181473</v>
      </c>
    </row>
    <row r="504" spans="7:7" x14ac:dyDescent="0.25">
      <c r="G504" s="131">
        <f t="shared" ca="1" si="11"/>
        <v>0.19612765547432556</v>
      </c>
    </row>
    <row r="505" spans="7:7" x14ac:dyDescent="0.25">
      <c r="G505" s="131">
        <f t="shared" ca="1" si="11"/>
        <v>0.52872302044653319</v>
      </c>
    </row>
    <row r="506" spans="7:7" x14ac:dyDescent="0.25">
      <c r="G506" s="131">
        <f t="shared" ca="1" si="11"/>
        <v>0.1903018824618285</v>
      </c>
    </row>
    <row r="507" spans="7:7" x14ac:dyDescent="0.25">
      <c r="G507" s="131">
        <f t="shared" ca="1" si="11"/>
        <v>0.3927935334345638</v>
      </c>
    </row>
    <row r="508" spans="7:7" x14ac:dyDescent="0.25">
      <c r="G508" s="131">
        <f t="shared" ca="1" si="11"/>
        <v>0.39508526661514942</v>
      </c>
    </row>
    <row r="509" spans="7:7" x14ac:dyDescent="0.25">
      <c r="G509" s="131">
        <f t="shared" ca="1" si="11"/>
        <v>0.39936879995000535</v>
      </c>
    </row>
    <row r="510" spans="7:7" x14ac:dyDescent="0.25">
      <c r="G510" s="131">
        <f t="shared" ca="1" si="11"/>
        <v>0.30763777056572617</v>
      </c>
    </row>
    <row r="511" spans="7:7" x14ac:dyDescent="0.25">
      <c r="G511" s="131">
        <f t="shared" ca="1" si="11"/>
        <v>1.0824542063725084</v>
      </c>
    </row>
    <row r="512" spans="7:7" x14ac:dyDescent="0.25">
      <c r="G512" s="131">
        <f t="shared" ca="1" si="11"/>
        <v>2.6459554621665045</v>
      </c>
    </row>
    <row r="513" spans="7:7" x14ac:dyDescent="0.25">
      <c r="G513" s="131">
        <f t="shared" ca="1" si="11"/>
        <v>2.9952213360454647</v>
      </c>
    </row>
    <row r="514" spans="7:7" x14ac:dyDescent="0.25">
      <c r="G514" s="131">
        <f t="shared" ca="1" si="11"/>
        <v>0.21550823327523544</v>
      </c>
    </row>
    <row r="515" spans="7:7" x14ac:dyDescent="0.25">
      <c r="G515" s="131">
        <f t="shared" ca="1" si="11"/>
        <v>0.21679552615577366</v>
      </c>
    </row>
    <row r="516" spans="7:7" x14ac:dyDescent="0.25">
      <c r="G516" s="131">
        <f t="shared" ref="G516:G579" ca="1" si="12">_xlfn.WEIBULL.DIST(RAND(),0.52,1.3437,FALSE)</f>
        <v>0.30355768748733042</v>
      </c>
    </row>
    <row r="517" spans="7:7" x14ac:dyDescent="0.25">
      <c r="G517" s="131">
        <f t="shared" ca="1" si="12"/>
        <v>0.38340735366284662</v>
      </c>
    </row>
    <row r="518" spans="7:7" x14ac:dyDescent="0.25">
      <c r="G518" s="131">
        <f t="shared" ca="1" si="12"/>
        <v>0.20200415661805282</v>
      </c>
    </row>
    <row r="519" spans="7:7" x14ac:dyDescent="0.25">
      <c r="G519" s="131">
        <f t="shared" ca="1" si="12"/>
        <v>0.89030223366975358</v>
      </c>
    </row>
    <row r="520" spans="7:7" x14ac:dyDescent="0.25">
      <c r="G520" s="131">
        <f t="shared" ca="1" si="12"/>
        <v>0.85380029960281811</v>
      </c>
    </row>
    <row r="521" spans="7:7" x14ac:dyDescent="0.25">
      <c r="G521" s="131">
        <f t="shared" ca="1" si="12"/>
        <v>5.5628175354356673</v>
      </c>
    </row>
    <row r="522" spans="7:7" x14ac:dyDescent="0.25">
      <c r="G522" s="131">
        <f t="shared" ca="1" si="12"/>
        <v>0.99959367127577847</v>
      </c>
    </row>
    <row r="523" spans="7:7" x14ac:dyDescent="0.25">
      <c r="G523" s="131">
        <f t="shared" ca="1" si="12"/>
        <v>0.19908669679248256</v>
      </c>
    </row>
    <row r="524" spans="7:7" x14ac:dyDescent="0.25">
      <c r="G524" s="131">
        <f t="shared" ca="1" si="12"/>
        <v>0.19757876365661098</v>
      </c>
    </row>
    <row r="525" spans="7:7" x14ac:dyDescent="0.25">
      <c r="G525" s="131">
        <f t="shared" ca="1" si="12"/>
        <v>0.24462553142080623</v>
      </c>
    </row>
    <row r="526" spans="7:7" x14ac:dyDescent="0.25">
      <c r="G526" s="131">
        <f t="shared" ca="1" si="12"/>
        <v>0.36422058892926318</v>
      </c>
    </row>
    <row r="527" spans="7:7" x14ac:dyDescent="0.25">
      <c r="G527" s="131">
        <f t="shared" ca="1" si="12"/>
        <v>4.2056146010863396</v>
      </c>
    </row>
    <row r="528" spans="7:7" x14ac:dyDescent="0.25">
      <c r="G528" s="131">
        <f t="shared" ca="1" si="12"/>
        <v>0.32313591578722484</v>
      </c>
    </row>
    <row r="529" spans="7:7" x14ac:dyDescent="0.25">
      <c r="G529" s="131">
        <f t="shared" ca="1" si="12"/>
        <v>0.32718062877634102</v>
      </c>
    </row>
    <row r="530" spans="7:7" x14ac:dyDescent="0.25">
      <c r="G530" s="131">
        <f t="shared" ca="1" si="12"/>
        <v>0.25041794335029904</v>
      </c>
    </row>
    <row r="531" spans="7:7" x14ac:dyDescent="0.25">
      <c r="G531" s="131">
        <f t="shared" ca="1" si="12"/>
        <v>0.25633281216428921</v>
      </c>
    </row>
    <row r="532" spans="7:7" x14ac:dyDescent="0.25">
      <c r="G532" s="131">
        <f t="shared" ca="1" si="12"/>
        <v>0.21344779193946906</v>
      </c>
    </row>
    <row r="533" spans="7:7" x14ac:dyDescent="0.25">
      <c r="G533" s="131">
        <f t="shared" ca="1" si="12"/>
        <v>0.26283530562407437</v>
      </c>
    </row>
    <row r="534" spans="7:7" x14ac:dyDescent="0.25">
      <c r="G534" s="131">
        <f t="shared" ca="1" si="12"/>
        <v>0.7642781720794779</v>
      </c>
    </row>
    <row r="535" spans="7:7" x14ac:dyDescent="0.25">
      <c r="G535" s="131">
        <f t="shared" ca="1" si="12"/>
        <v>0.41513186621342163</v>
      </c>
    </row>
    <row r="536" spans="7:7" x14ac:dyDescent="0.25">
      <c r="G536" s="131">
        <f t="shared" ca="1" si="12"/>
        <v>0.4820563318179612</v>
      </c>
    </row>
    <row r="537" spans="7:7" x14ac:dyDescent="0.25">
      <c r="G537" s="131">
        <f t="shared" ca="1" si="12"/>
        <v>1.1151288995274089</v>
      </c>
    </row>
    <row r="538" spans="7:7" x14ac:dyDescent="0.25">
      <c r="G538" s="131">
        <f t="shared" ca="1" si="12"/>
        <v>0.36051040850877342</v>
      </c>
    </row>
    <row r="539" spans="7:7" x14ac:dyDescent="0.25">
      <c r="G539" s="131">
        <f t="shared" ca="1" si="12"/>
        <v>0.37217698644174424</v>
      </c>
    </row>
    <row r="540" spans="7:7" x14ac:dyDescent="0.25">
      <c r="G540" s="131">
        <f t="shared" ca="1" si="12"/>
        <v>0.30004507131952496</v>
      </c>
    </row>
    <row r="541" spans="7:7" x14ac:dyDescent="0.25">
      <c r="G541" s="131">
        <f t="shared" ca="1" si="12"/>
        <v>1.6813631913304181</v>
      </c>
    </row>
    <row r="542" spans="7:7" x14ac:dyDescent="0.25">
      <c r="G542" s="131">
        <f t="shared" ca="1" si="12"/>
        <v>0.20743488254496328</v>
      </c>
    </row>
    <row r="543" spans="7:7" x14ac:dyDescent="0.25">
      <c r="G543" s="131">
        <f t="shared" ca="1" si="12"/>
        <v>0.24800532758491872</v>
      </c>
    </row>
    <row r="544" spans="7:7" x14ac:dyDescent="0.25">
      <c r="G544" s="131">
        <f t="shared" ca="1" si="12"/>
        <v>0.21988006745601063</v>
      </c>
    </row>
    <row r="545" spans="7:7" x14ac:dyDescent="0.25">
      <c r="G545" s="131">
        <f t="shared" ca="1" si="12"/>
        <v>0.19554833975707928</v>
      </c>
    </row>
    <row r="546" spans="7:7" x14ac:dyDescent="0.25">
      <c r="G546" s="131">
        <f t="shared" ca="1" si="12"/>
        <v>0.29542547624939142</v>
      </c>
    </row>
    <row r="547" spans="7:7" x14ac:dyDescent="0.25">
      <c r="G547" s="131">
        <f t="shared" ca="1" si="12"/>
        <v>0.34816082454080433</v>
      </c>
    </row>
    <row r="548" spans="7:7" x14ac:dyDescent="0.25">
      <c r="G548" s="131">
        <f t="shared" ca="1" si="12"/>
        <v>0.39567629146864353</v>
      </c>
    </row>
    <row r="549" spans="7:7" x14ac:dyDescent="0.25">
      <c r="G549" s="131">
        <f t="shared" ca="1" si="12"/>
        <v>0.47399676075758851</v>
      </c>
    </row>
    <row r="550" spans="7:7" x14ac:dyDescent="0.25">
      <c r="G550" s="131">
        <f t="shared" ca="1" si="12"/>
        <v>0.46678267216044922</v>
      </c>
    </row>
    <row r="551" spans="7:7" x14ac:dyDescent="0.25">
      <c r="G551" s="131">
        <f t="shared" ca="1" si="12"/>
        <v>0.53496071214897412</v>
      </c>
    </row>
    <row r="552" spans="7:7" x14ac:dyDescent="0.25">
      <c r="G552" s="131">
        <f t="shared" ca="1" si="12"/>
        <v>0.40273517089926203</v>
      </c>
    </row>
    <row r="553" spans="7:7" x14ac:dyDescent="0.25">
      <c r="G553" s="131">
        <f t="shared" ca="1" si="12"/>
        <v>2.272739309026782</v>
      </c>
    </row>
    <row r="554" spans="7:7" x14ac:dyDescent="0.25">
      <c r="G554" s="131">
        <f t="shared" ca="1" si="12"/>
        <v>0.59650144303067654</v>
      </c>
    </row>
    <row r="555" spans="7:7" x14ac:dyDescent="0.25">
      <c r="G555" s="131">
        <f t="shared" ca="1" si="12"/>
        <v>0.23589884027572686</v>
      </c>
    </row>
    <row r="556" spans="7:7" x14ac:dyDescent="0.25">
      <c r="G556" s="131">
        <f t="shared" ca="1" si="12"/>
        <v>0.47329426771023747</v>
      </c>
    </row>
    <row r="557" spans="7:7" x14ac:dyDescent="0.25">
      <c r="G557" s="131">
        <f t="shared" ca="1" si="12"/>
        <v>0.55529337370180953</v>
      </c>
    </row>
    <row r="558" spans="7:7" x14ac:dyDescent="0.25">
      <c r="G558" s="131">
        <f t="shared" ca="1" si="12"/>
        <v>0.40260762616547713</v>
      </c>
    </row>
    <row r="559" spans="7:7" x14ac:dyDescent="0.25">
      <c r="G559" s="131">
        <f t="shared" ca="1" si="12"/>
        <v>0.369001659941667</v>
      </c>
    </row>
    <row r="560" spans="7:7" x14ac:dyDescent="0.25">
      <c r="G560" s="131">
        <f t="shared" ca="1" si="12"/>
        <v>0.54765052317367569</v>
      </c>
    </row>
    <row r="561" spans="7:7" x14ac:dyDescent="0.25">
      <c r="G561" s="131">
        <f t="shared" ca="1" si="12"/>
        <v>0.72453406429869838</v>
      </c>
    </row>
    <row r="562" spans="7:7" x14ac:dyDescent="0.25">
      <c r="G562" s="131">
        <f t="shared" ca="1" si="12"/>
        <v>2.1922046675085212</v>
      </c>
    </row>
    <row r="563" spans="7:7" x14ac:dyDescent="0.25">
      <c r="G563" s="131">
        <f t="shared" ca="1" si="12"/>
        <v>0.28083098681194463</v>
      </c>
    </row>
    <row r="564" spans="7:7" x14ac:dyDescent="0.25">
      <c r="G564" s="131">
        <f t="shared" ca="1" si="12"/>
        <v>0.59749630200719639</v>
      </c>
    </row>
    <row r="565" spans="7:7" x14ac:dyDescent="0.25">
      <c r="G565" s="131">
        <f t="shared" ca="1" si="12"/>
        <v>0.27831258775067608</v>
      </c>
    </row>
    <row r="566" spans="7:7" x14ac:dyDescent="0.25">
      <c r="G566" s="131">
        <f t="shared" ca="1" si="12"/>
        <v>0.43287987293481855</v>
      </c>
    </row>
    <row r="567" spans="7:7" x14ac:dyDescent="0.25">
      <c r="G567" s="131">
        <f t="shared" ca="1" si="12"/>
        <v>0.25416770225631102</v>
      </c>
    </row>
    <row r="568" spans="7:7" x14ac:dyDescent="0.25">
      <c r="G568" s="131">
        <f t="shared" ca="1" si="12"/>
        <v>0.25884026177190889</v>
      </c>
    </row>
    <row r="569" spans="7:7" x14ac:dyDescent="0.25">
      <c r="G569" s="131">
        <f t="shared" ca="1" si="12"/>
        <v>0.27190780524867159</v>
      </c>
    </row>
    <row r="570" spans="7:7" x14ac:dyDescent="0.25">
      <c r="G570" s="131">
        <f t="shared" ca="1" si="12"/>
        <v>0.36660067666953799</v>
      </c>
    </row>
    <row r="571" spans="7:7" x14ac:dyDescent="0.25">
      <c r="G571" s="131">
        <f t="shared" ca="1" si="12"/>
        <v>1.4600807602138302</v>
      </c>
    </row>
    <row r="572" spans="7:7" x14ac:dyDescent="0.25">
      <c r="G572" s="131">
        <f t="shared" ca="1" si="12"/>
        <v>0.25267768385320494</v>
      </c>
    </row>
    <row r="573" spans="7:7" x14ac:dyDescent="0.25">
      <c r="G573" s="131">
        <f t="shared" ca="1" si="12"/>
        <v>0.44876078813441334</v>
      </c>
    </row>
    <row r="574" spans="7:7" x14ac:dyDescent="0.25">
      <c r="G574" s="131">
        <f t="shared" ca="1" si="12"/>
        <v>0.38236381075258968</v>
      </c>
    </row>
    <row r="575" spans="7:7" x14ac:dyDescent="0.25">
      <c r="G575" s="131">
        <f t="shared" ca="1" si="12"/>
        <v>0.44950174016462663</v>
      </c>
    </row>
    <row r="576" spans="7:7" x14ac:dyDescent="0.25">
      <c r="G576" s="131">
        <f t="shared" ca="1" si="12"/>
        <v>2.7058168169323373</v>
      </c>
    </row>
    <row r="577" spans="7:7" x14ac:dyDescent="0.25">
      <c r="G577" s="131">
        <f t="shared" ca="1" si="12"/>
        <v>0.27433287180046201</v>
      </c>
    </row>
    <row r="578" spans="7:7" x14ac:dyDescent="0.25">
      <c r="G578" s="131">
        <f t="shared" ca="1" si="12"/>
        <v>0.35769510919729547</v>
      </c>
    </row>
    <row r="579" spans="7:7" x14ac:dyDescent="0.25">
      <c r="G579" s="131">
        <f t="shared" ca="1" si="12"/>
        <v>1.5399098707989498</v>
      </c>
    </row>
    <row r="580" spans="7:7" x14ac:dyDescent="0.25">
      <c r="G580" s="131">
        <f t="shared" ref="G580:G643" ca="1" si="13">_xlfn.WEIBULL.DIST(RAND(),0.52,1.3437,FALSE)</f>
        <v>0.33991421995280802</v>
      </c>
    </row>
    <row r="581" spans="7:7" x14ac:dyDescent="0.25">
      <c r="G581" s="131">
        <f t="shared" ca="1" si="13"/>
        <v>0.21405539844445734</v>
      </c>
    </row>
    <row r="582" spans="7:7" x14ac:dyDescent="0.25">
      <c r="G582" s="131">
        <f t="shared" ca="1" si="13"/>
        <v>0.21209924673173405</v>
      </c>
    </row>
    <row r="583" spans="7:7" x14ac:dyDescent="0.25">
      <c r="G583" s="131">
        <f t="shared" ca="1" si="13"/>
        <v>0.23393341045228788</v>
      </c>
    </row>
    <row r="584" spans="7:7" x14ac:dyDescent="0.25">
      <c r="G584" s="131">
        <f t="shared" ca="1" si="13"/>
        <v>0.26939668600310629</v>
      </c>
    </row>
    <row r="585" spans="7:7" x14ac:dyDescent="0.25">
      <c r="G585" s="131">
        <f t="shared" ca="1" si="13"/>
        <v>0.29041287619621242</v>
      </c>
    </row>
    <row r="586" spans="7:7" x14ac:dyDescent="0.25">
      <c r="G586" s="131">
        <f t="shared" ca="1" si="13"/>
        <v>0.55521689065308266</v>
      </c>
    </row>
    <row r="587" spans="7:7" x14ac:dyDescent="0.25">
      <c r="G587" s="131">
        <f t="shared" ca="1" si="13"/>
        <v>0.31868963694410452</v>
      </c>
    </row>
    <row r="588" spans="7:7" x14ac:dyDescent="0.25">
      <c r="G588" s="131">
        <f t="shared" ca="1" si="13"/>
        <v>0.36595645573969882</v>
      </c>
    </row>
    <row r="589" spans="7:7" x14ac:dyDescent="0.25">
      <c r="G589" s="131">
        <f t="shared" ca="1" si="13"/>
        <v>0.26339160041885779</v>
      </c>
    </row>
    <row r="590" spans="7:7" x14ac:dyDescent="0.25">
      <c r="G590" s="131">
        <f t="shared" ca="1" si="13"/>
        <v>0.32295683145597859</v>
      </c>
    </row>
    <row r="591" spans="7:7" x14ac:dyDescent="0.25">
      <c r="G591" s="131">
        <f t="shared" ca="1" si="13"/>
        <v>0.27676319555845863</v>
      </c>
    </row>
    <row r="592" spans="7:7" x14ac:dyDescent="0.25">
      <c r="G592" s="131">
        <f t="shared" ca="1" si="13"/>
        <v>0.31110550892529559</v>
      </c>
    </row>
    <row r="593" spans="7:7" x14ac:dyDescent="0.25">
      <c r="G593" s="131">
        <f t="shared" ca="1" si="13"/>
        <v>1.7031048685295411</v>
      </c>
    </row>
    <row r="594" spans="7:7" x14ac:dyDescent="0.25">
      <c r="G594" s="131">
        <f t="shared" ca="1" si="13"/>
        <v>0.1935117063468639</v>
      </c>
    </row>
    <row r="595" spans="7:7" x14ac:dyDescent="0.25">
      <c r="G595" s="131">
        <f t="shared" ca="1" si="13"/>
        <v>0.62122356156988312</v>
      </c>
    </row>
    <row r="596" spans="7:7" x14ac:dyDescent="0.25">
      <c r="G596" s="131">
        <f t="shared" ca="1" si="13"/>
        <v>0.25039486290630109</v>
      </c>
    </row>
    <row r="597" spans="7:7" x14ac:dyDescent="0.25">
      <c r="G597" s="131">
        <f t="shared" ca="1" si="13"/>
        <v>0.23825156568502368</v>
      </c>
    </row>
    <row r="598" spans="7:7" x14ac:dyDescent="0.25">
      <c r="G598" s="131">
        <f t="shared" ca="1" si="13"/>
        <v>0.31995297019899027</v>
      </c>
    </row>
    <row r="599" spans="7:7" x14ac:dyDescent="0.25">
      <c r="G599" s="131">
        <f t="shared" ca="1" si="13"/>
        <v>0.56837854902650076</v>
      </c>
    </row>
    <row r="600" spans="7:7" x14ac:dyDescent="0.25">
      <c r="G600" s="131">
        <f t="shared" ca="1" si="13"/>
        <v>0.55074036350739275</v>
      </c>
    </row>
    <row r="601" spans="7:7" x14ac:dyDescent="0.25">
      <c r="G601" s="131">
        <f t="shared" ca="1" si="13"/>
        <v>0.34280220341438256</v>
      </c>
    </row>
    <row r="602" spans="7:7" x14ac:dyDescent="0.25">
      <c r="G602" s="131">
        <f t="shared" ca="1" si="13"/>
        <v>7.6656857629332782</v>
      </c>
    </row>
    <row r="603" spans="7:7" x14ac:dyDescent="0.25">
      <c r="G603" s="131">
        <f t="shared" ca="1" si="13"/>
        <v>0.53888166166656482</v>
      </c>
    </row>
    <row r="604" spans="7:7" x14ac:dyDescent="0.25">
      <c r="G604" s="131">
        <f t="shared" ca="1" si="13"/>
        <v>0.29823019735015033</v>
      </c>
    </row>
    <row r="605" spans="7:7" x14ac:dyDescent="0.25">
      <c r="G605" s="131">
        <f t="shared" ca="1" si="13"/>
        <v>0.19551497343826188</v>
      </c>
    </row>
    <row r="606" spans="7:7" x14ac:dyDescent="0.25">
      <c r="G606" s="131">
        <f t="shared" ca="1" si="13"/>
        <v>0.36374951137666534</v>
      </c>
    </row>
    <row r="607" spans="7:7" x14ac:dyDescent="0.25">
      <c r="G607" s="131">
        <f t="shared" ca="1" si="13"/>
        <v>0.51802788663537636</v>
      </c>
    </row>
    <row r="608" spans="7:7" x14ac:dyDescent="0.25">
      <c r="G608" s="131">
        <f t="shared" ca="1" si="13"/>
        <v>0.25168148435780802</v>
      </c>
    </row>
    <row r="609" spans="7:7" x14ac:dyDescent="0.25">
      <c r="G609" s="131">
        <f t="shared" ca="1" si="13"/>
        <v>0.21880757251096344</v>
      </c>
    </row>
    <row r="610" spans="7:7" x14ac:dyDescent="0.25">
      <c r="G610" s="131">
        <f t="shared" ca="1" si="13"/>
        <v>1.3164822345896057</v>
      </c>
    </row>
    <row r="611" spans="7:7" x14ac:dyDescent="0.25">
      <c r="G611" s="131">
        <f t="shared" ca="1" si="13"/>
        <v>0.75370155522341309</v>
      </c>
    </row>
    <row r="612" spans="7:7" x14ac:dyDescent="0.25">
      <c r="G612" s="131">
        <f t="shared" ca="1" si="13"/>
        <v>0.21908366671235716</v>
      </c>
    </row>
    <row r="613" spans="7:7" x14ac:dyDescent="0.25">
      <c r="G613" s="131">
        <f t="shared" ca="1" si="13"/>
        <v>0.6206850396028335</v>
      </c>
    </row>
    <row r="614" spans="7:7" x14ac:dyDescent="0.25">
      <c r="G614" s="131">
        <f t="shared" ca="1" si="13"/>
        <v>0.24683065926897516</v>
      </c>
    </row>
    <row r="615" spans="7:7" x14ac:dyDescent="0.25">
      <c r="G615" s="131">
        <f t="shared" ca="1" si="13"/>
        <v>0.89362970983282619</v>
      </c>
    </row>
    <row r="616" spans="7:7" x14ac:dyDescent="0.25">
      <c r="G616" s="131">
        <f t="shared" ca="1" si="13"/>
        <v>0.23203190837254728</v>
      </c>
    </row>
    <row r="617" spans="7:7" x14ac:dyDescent="0.25">
      <c r="G617" s="131">
        <f t="shared" ca="1" si="13"/>
        <v>0.32052989381566405</v>
      </c>
    </row>
    <row r="618" spans="7:7" x14ac:dyDescent="0.25">
      <c r="G618" s="131">
        <f t="shared" ca="1" si="13"/>
        <v>1.2935644695733124</v>
      </c>
    </row>
    <row r="619" spans="7:7" x14ac:dyDescent="0.25">
      <c r="G619" s="131">
        <f t="shared" ca="1" si="13"/>
        <v>0.47617294281838529</v>
      </c>
    </row>
    <row r="620" spans="7:7" x14ac:dyDescent="0.25">
      <c r="G620" s="131">
        <f t="shared" ca="1" si="13"/>
        <v>0.19479642113236659</v>
      </c>
    </row>
    <row r="621" spans="7:7" x14ac:dyDescent="0.25">
      <c r="G621" s="131">
        <f t="shared" ca="1" si="13"/>
        <v>0.21650376013409656</v>
      </c>
    </row>
    <row r="622" spans="7:7" x14ac:dyDescent="0.25">
      <c r="G622" s="131">
        <f t="shared" ca="1" si="13"/>
        <v>0.83146366695090346</v>
      </c>
    </row>
    <row r="623" spans="7:7" x14ac:dyDescent="0.25">
      <c r="G623" s="131">
        <f t="shared" ca="1" si="13"/>
        <v>0.83384315970724088</v>
      </c>
    </row>
    <row r="624" spans="7:7" x14ac:dyDescent="0.25">
      <c r="G624" s="131">
        <f t="shared" ca="1" si="13"/>
        <v>0.27027306215791508</v>
      </c>
    </row>
    <row r="625" spans="7:7" x14ac:dyDescent="0.25">
      <c r="G625" s="131">
        <f t="shared" ca="1" si="13"/>
        <v>1.0172307951573922</v>
      </c>
    </row>
    <row r="626" spans="7:7" x14ac:dyDescent="0.25">
      <c r="G626" s="131">
        <f t="shared" ca="1" si="13"/>
        <v>0.31669241737030734</v>
      </c>
    </row>
    <row r="627" spans="7:7" x14ac:dyDescent="0.25">
      <c r="G627" s="131">
        <f t="shared" ca="1" si="13"/>
        <v>0.33352753283360392</v>
      </c>
    </row>
    <row r="628" spans="7:7" x14ac:dyDescent="0.25">
      <c r="G628" s="131">
        <f t="shared" ca="1" si="13"/>
        <v>0.6496522424421437</v>
      </c>
    </row>
    <row r="629" spans="7:7" x14ac:dyDescent="0.25">
      <c r="G629" s="131">
        <f t="shared" ca="1" si="13"/>
        <v>0.26119706610790794</v>
      </c>
    </row>
    <row r="630" spans="7:7" x14ac:dyDescent="0.25">
      <c r="G630" s="131">
        <f t="shared" ca="1" si="13"/>
        <v>0.19525324873406719</v>
      </c>
    </row>
    <row r="631" spans="7:7" x14ac:dyDescent="0.25">
      <c r="G631" s="131">
        <f t="shared" ca="1" si="13"/>
        <v>0.32942761973796963</v>
      </c>
    </row>
    <row r="632" spans="7:7" x14ac:dyDescent="0.25">
      <c r="G632" s="131">
        <f t="shared" ca="1" si="13"/>
        <v>0.20012832618766679</v>
      </c>
    </row>
    <row r="633" spans="7:7" x14ac:dyDescent="0.25">
      <c r="G633" s="131">
        <f t="shared" ca="1" si="13"/>
        <v>0.29128601395125336</v>
      </c>
    </row>
    <row r="634" spans="7:7" x14ac:dyDescent="0.25">
      <c r="G634" s="131">
        <f t="shared" ca="1" si="13"/>
        <v>0.53215511884891331</v>
      </c>
    </row>
    <row r="635" spans="7:7" x14ac:dyDescent="0.25">
      <c r="G635" s="131">
        <f t="shared" ca="1" si="13"/>
        <v>0.77177836805229616</v>
      </c>
    </row>
    <row r="636" spans="7:7" x14ac:dyDescent="0.25">
      <c r="G636" s="131">
        <f t="shared" ca="1" si="13"/>
        <v>0.18956305435129436</v>
      </c>
    </row>
    <row r="637" spans="7:7" x14ac:dyDescent="0.25">
      <c r="G637" s="131">
        <f t="shared" ca="1" si="13"/>
        <v>0.79489789057890703</v>
      </c>
    </row>
    <row r="638" spans="7:7" x14ac:dyDescent="0.25">
      <c r="G638" s="131">
        <f t="shared" ca="1" si="13"/>
        <v>2.4966147689354261</v>
      </c>
    </row>
    <row r="639" spans="7:7" x14ac:dyDescent="0.25">
      <c r="G639" s="131">
        <f t="shared" ca="1" si="13"/>
        <v>0.32836048634234094</v>
      </c>
    </row>
    <row r="640" spans="7:7" x14ac:dyDescent="0.25">
      <c r="G640" s="131">
        <f t="shared" ca="1" si="13"/>
        <v>0.36752775818211958</v>
      </c>
    </row>
    <row r="641" spans="7:7" x14ac:dyDescent="0.25">
      <c r="G641" s="131">
        <f t="shared" ca="1" si="13"/>
        <v>0.29617729170294382</v>
      </c>
    </row>
    <row r="642" spans="7:7" x14ac:dyDescent="0.25">
      <c r="G642" s="131">
        <f t="shared" ca="1" si="13"/>
        <v>0.20611759022042367</v>
      </c>
    </row>
    <row r="643" spans="7:7" x14ac:dyDescent="0.25">
      <c r="G643" s="131">
        <f t="shared" ca="1" si="13"/>
        <v>0.3106745486053667</v>
      </c>
    </row>
    <row r="644" spans="7:7" x14ac:dyDescent="0.25">
      <c r="G644" s="131">
        <f t="shared" ref="G644:G707" ca="1" si="14">_xlfn.WEIBULL.DIST(RAND(),0.52,1.3437,FALSE)</f>
        <v>0.75790427438918218</v>
      </c>
    </row>
    <row r="645" spans="7:7" x14ac:dyDescent="0.25">
      <c r="G645" s="131">
        <f t="shared" ca="1" si="14"/>
        <v>0.4294069464619048</v>
      </c>
    </row>
    <row r="646" spans="7:7" x14ac:dyDescent="0.25">
      <c r="G646" s="131">
        <f t="shared" ca="1" si="14"/>
        <v>2.0456110525017741</v>
      </c>
    </row>
    <row r="647" spans="7:7" x14ac:dyDescent="0.25">
      <c r="G647" s="131">
        <f t="shared" ca="1" si="14"/>
        <v>0.30756717302643016</v>
      </c>
    </row>
    <row r="648" spans="7:7" x14ac:dyDescent="0.25">
      <c r="G648" s="131">
        <f t="shared" ca="1" si="14"/>
        <v>0.97580325420916403</v>
      </c>
    </row>
    <row r="649" spans="7:7" x14ac:dyDescent="0.25">
      <c r="G649" s="131">
        <f t="shared" ca="1" si="14"/>
        <v>0.29974435693012302</v>
      </c>
    </row>
    <row r="650" spans="7:7" x14ac:dyDescent="0.25">
      <c r="G650" s="131">
        <f t="shared" ca="1" si="14"/>
        <v>0.56847807942790907</v>
      </c>
    </row>
    <row r="651" spans="7:7" x14ac:dyDescent="0.25">
      <c r="G651" s="131">
        <f t="shared" ca="1" si="14"/>
        <v>0.30975498633785686</v>
      </c>
    </row>
    <row r="652" spans="7:7" x14ac:dyDescent="0.25">
      <c r="G652" s="131">
        <f t="shared" ca="1" si="14"/>
        <v>0.79400985417428271</v>
      </c>
    </row>
    <row r="653" spans="7:7" x14ac:dyDescent="0.25">
      <c r="G653" s="131">
        <f t="shared" ca="1" si="14"/>
        <v>0.30551919006772654</v>
      </c>
    </row>
    <row r="654" spans="7:7" x14ac:dyDescent="0.25">
      <c r="G654" s="131">
        <f t="shared" ca="1" si="14"/>
        <v>1.6883099101751002</v>
      </c>
    </row>
    <row r="655" spans="7:7" x14ac:dyDescent="0.25">
      <c r="G655" s="131">
        <f t="shared" ca="1" si="14"/>
        <v>1.0209261419513891</v>
      </c>
    </row>
    <row r="656" spans="7:7" x14ac:dyDescent="0.25">
      <c r="G656" s="131">
        <f t="shared" ca="1" si="14"/>
        <v>0.72278673283340522</v>
      </c>
    </row>
    <row r="657" spans="7:7" x14ac:dyDescent="0.25">
      <c r="G657" s="131">
        <f t="shared" ca="1" si="14"/>
        <v>0.26332447693486977</v>
      </c>
    </row>
    <row r="658" spans="7:7" x14ac:dyDescent="0.25">
      <c r="G658" s="131">
        <f t="shared" ca="1" si="14"/>
        <v>0.2712622264015036</v>
      </c>
    </row>
    <row r="659" spans="7:7" x14ac:dyDescent="0.25">
      <c r="G659" s="131">
        <f t="shared" ca="1" si="14"/>
        <v>0.27509393392607567</v>
      </c>
    </row>
    <row r="660" spans="7:7" x14ac:dyDescent="0.25">
      <c r="G660" s="131">
        <f t="shared" ca="1" si="14"/>
        <v>0.22272549538224337</v>
      </c>
    </row>
    <row r="661" spans="7:7" x14ac:dyDescent="0.25">
      <c r="G661" s="131">
        <f t="shared" ca="1" si="14"/>
        <v>2.6263373922180504</v>
      </c>
    </row>
    <row r="662" spans="7:7" x14ac:dyDescent="0.25">
      <c r="G662" s="131">
        <f t="shared" ca="1" si="14"/>
        <v>0.2266622078242419</v>
      </c>
    </row>
    <row r="663" spans="7:7" x14ac:dyDescent="0.25">
      <c r="G663" s="131">
        <f t="shared" ca="1" si="14"/>
        <v>0.27590259176747878</v>
      </c>
    </row>
    <row r="664" spans="7:7" x14ac:dyDescent="0.25">
      <c r="G664" s="131">
        <f t="shared" ca="1" si="14"/>
        <v>0.30764627629865554</v>
      </c>
    </row>
    <row r="665" spans="7:7" x14ac:dyDescent="0.25">
      <c r="G665" s="131">
        <f t="shared" ca="1" si="14"/>
        <v>0.19356621716821254</v>
      </c>
    </row>
    <row r="666" spans="7:7" x14ac:dyDescent="0.25">
      <c r="G666" s="131">
        <f t="shared" ca="1" si="14"/>
        <v>0.35027332789963905</v>
      </c>
    </row>
    <row r="667" spans="7:7" x14ac:dyDescent="0.25">
      <c r="G667" s="131">
        <f t="shared" ca="1" si="14"/>
        <v>0.27878602937884606</v>
      </c>
    </row>
    <row r="668" spans="7:7" x14ac:dyDescent="0.25">
      <c r="G668" s="131">
        <f t="shared" ca="1" si="14"/>
        <v>0.27966710354407093</v>
      </c>
    </row>
    <row r="669" spans="7:7" x14ac:dyDescent="0.25">
      <c r="G669" s="131">
        <f t="shared" ca="1" si="14"/>
        <v>5.3204675514481963</v>
      </c>
    </row>
    <row r="670" spans="7:7" x14ac:dyDescent="0.25">
      <c r="G670" s="131">
        <f t="shared" ca="1" si="14"/>
        <v>0.25654400051443299</v>
      </c>
    </row>
    <row r="671" spans="7:7" x14ac:dyDescent="0.25">
      <c r="G671" s="131">
        <f t="shared" ca="1" si="14"/>
        <v>0.21420107885065151</v>
      </c>
    </row>
    <row r="672" spans="7:7" x14ac:dyDescent="0.25">
      <c r="G672" s="131">
        <f t="shared" ca="1" si="14"/>
        <v>0.2309979629946568</v>
      </c>
    </row>
    <row r="673" spans="7:7" x14ac:dyDescent="0.25">
      <c r="G673" s="131">
        <f t="shared" ca="1" si="14"/>
        <v>0.27034026058179744</v>
      </c>
    </row>
    <row r="674" spans="7:7" x14ac:dyDescent="0.25">
      <c r="G674" s="131">
        <f t="shared" ca="1" si="14"/>
        <v>0.51200756305638029</v>
      </c>
    </row>
    <row r="675" spans="7:7" x14ac:dyDescent="0.25">
      <c r="G675" s="131">
        <f t="shared" ca="1" si="14"/>
        <v>0.19364599519293099</v>
      </c>
    </row>
    <row r="676" spans="7:7" x14ac:dyDescent="0.25">
      <c r="G676" s="131">
        <f t="shared" ca="1" si="14"/>
        <v>0.20941293694525792</v>
      </c>
    </row>
    <row r="677" spans="7:7" x14ac:dyDescent="0.25">
      <c r="G677" s="131">
        <f t="shared" ca="1" si="14"/>
        <v>0.21368529247679438</v>
      </c>
    </row>
    <row r="678" spans="7:7" x14ac:dyDescent="0.25">
      <c r="G678" s="131">
        <f t="shared" ca="1" si="14"/>
        <v>0.21619713867214926</v>
      </c>
    </row>
    <row r="679" spans="7:7" x14ac:dyDescent="0.25">
      <c r="G679" s="131">
        <f t="shared" ca="1" si="14"/>
        <v>0.21966071655694014</v>
      </c>
    </row>
    <row r="680" spans="7:7" x14ac:dyDescent="0.25">
      <c r="G680" s="131">
        <f t="shared" ca="1" si="14"/>
        <v>0.48520349315464872</v>
      </c>
    </row>
    <row r="681" spans="7:7" x14ac:dyDescent="0.25">
      <c r="G681" s="131">
        <f t="shared" ca="1" si="14"/>
        <v>0.21454889506882857</v>
      </c>
    </row>
    <row r="682" spans="7:7" x14ac:dyDescent="0.25">
      <c r="G682" s="131">
        <f t="shared" ca="1" si="14"/>
        <v>0.19346572942993001</v>
      </c>
    </row>
    <row r="683" spans="7:7" x14ac:dyDescent="0.25">
      <c r="G683" s="131">
        <f t="shared" ca="1" si="14"/>
        <v>0.40826690452525738</v>
      </c>
    </row>
    <row r="684" spans="7:7" x14ac:dyDescent="0.25">
      <c r="G684" s="131">
        <f t="shared" ca="1" si="14"/>
        <v>0.20826318170531277</v>
      </c>
    </row>
    <row r="685" spans="7:7" x14ac:dyDescent="0.25">
      <c r="G685" s="131">
        <f t="shared" ca="1" si="14"/>
        <v>0.28300748864805975</v>
      </c>
    </row>
    <row r="686" spans="7:7" x14ac:dyDescent="0.25">
      <c r="G686" s="131">
        <f t="shared" ca="1" si="14"/>
        <v>0.21750546105016144</v>
      </c>
    </row>
    <row r="687" spans="7:7" x14ac:dyDescent="0.25">
      <c r="G687" s="131">
        <f t="shared" ca="1" si="14"/>
        <v>0.21725032966504512</v>
      </c>
    </row>
    <row r="688" spans="7:7" x14ac:dyDescent="0.25">
      <c r="G688" s="131">
        <f t="shared" ca="1" si="14"/>
        <v>0.30445089941469439</v>
      </c>
    </row>
    <row r="689" spans="7:7" x14ac:dyDescent="0.25">
      <c r="G689" s="131">
        <f t="shared" ca="1" si="14"/>
        <v>0.39091492313668691</v>
      </c>
    </row>
    <row r="690" spans="7:7" x14ac:dyDescent="0.25">
      <c r="G690" s="131">
        <f t="shared" ca="1" si="14"/>
        <v>0.27865191790421473</v>
      </c>
    </row>
    <row r="691" spans="7:7" x14ac:dyDescent="0.25">
      <c r="G691" s="131">
        <f t="shared" ca="1" si="14"/>
        <v>0.19282051284923926</v>
      </c>
    </row>
    <row r="692" spans="7:7" x14ac:dyDescent="0.25">
      <c r="G692" s="131">
        <f t="shared" ca="1" si="14"/>
        <v>0.57142228167701592</v>
      </c>
    </row>
    <row r="693" spans="7:7" x14ac:dyDescent="0.25">
      <c r="G693" s="131">
        <f t="shared" ca="1" si="14"/>
        <v>0.31105459706700828</v>
      </c>
    </row>
    <row r="694" spans="7:7" x14ac:dyDescent="0.25">
      <c r="G694" s="131">
        <f t="shared" ca="1" si="14"/>
        <v>0.38903955158733955</v>
      </c>
    </row>
    <row r="695" spans="7:7" x14ac:dyDescent="0.25">
      <c r="G695" s="131">
        <f t="shared" ca="1" si="14"/>
        <v>0.6003373502630206</v>
      </c>
    </row>
    <row r="696" spans="7:7" x14ac:dyDescent="0.25">
      <c r="G696" s="131">
        <f t="shared" ca="1" si="14"/>
        <v>0.32000273285658004</v>
      </c>
    </row>
    <row r="697" spans="7:7" x14ac:dyDescent="0.25">
      <c r="G697" s="131">
        <f t="shared" ca="1" si="14"/>
        <v>0.20714134093907477</v>
      </c>
    </row>
    <row r="698" spans="7:7" x14ac:dyDescent="0.25">
      <c r="G698" s="131">
        <f t="shared" ca="1" si="14"/>
        <v>0.34826834154139297</v>
      </c>
    </row>
    <row r="699" spans="7:7" x14ac:dyDescent="0.25">
      <c r="G699" s="131">
        <f t="shared" ca="1" si="14"/>
        <v>0.44612699507232445</v>
      </c>
    </row>
    <row r="700" spans="7:7" x14ac:dyDescent="0.25">
      <c r="G700" s="131">
        <f t="shared" ca="1" si="14"/>
        <v>0.20076381161565801</v>
      </c>
    </row>
    <row r="701" spans="7:7" x14ac:dyDescent="0.25">
      <c r="G701" s="131">
        <f t="shared" ca="1" si="14"/>
        <v>0.23106694834046593</v>
      </c>
    </row>
    <row r="702" spans="7:7" x14ac:dyDescent="0.25">
      <c r="G702" s="131">
        <f t="shared" ca="1" si="14"/>
        <v>0.33411136013315512</v>
      </c>
    </row>
    <row r="703" spans="7:7" x14ac:dyDescent="0.25">
      <c r="G703" s="131">
        <f t="shared" ca="1" si="14"/>
        <v>0.3952159037343278</v>
      </c>
    </row>
    <row r="704" spans="7:7" x14ac:dyDescent="0.25">
      <c r="G704" s="131">
        <f t="shared" ca="1" si="14"/>
        <v>0.24120191598061497</v>
      </c>
    </row>
    <row r="705" spans="7:7" x14ac:dyDescent="0.25">
      <c r="G705" s="131">
        <f t="shared" ca="1" si="14"/>
        <v>0.26281979351338125</v>
      </c>
    </row>
    <row r="706" spans="7:7" x14ac:dyDescent="0.25">
      <c r="G706" s="131">
        <f t="shared" ca="1" si="14"/>
        <v>0.44307112357821948</v>
      </c>
    </row>
    <row r="707" spans="7:7" x14ac:dyDescent="0.25">
      <c r="G707" s="131">
        <f t="shared" ca="1" si="14"/>
        <v>0.47015496578518956</v>
      </c>
    </row>
    <row r="708" spans="7:7" x14ac:dyDescent="0.25">
      <c r="G708" s="131">
        <f t="shared" ref="G708:G771" ca="1" si="15">_xlfn.WEIBULL.DIST(RAND(),0.52,1.3437,FALSE)</f>
        <v>0.53355455567454113</v>
      </c>
    </row>
    <row r="709" spans="7:7" x14ac:dyDescent="0.25">
      <c r="G709" s="131">
        <f t="shared" ca="1" si="15"/>
        <v>0.486784880245822</v>
      </c>
    </row>
    <row r="710" spans="7:7" x14ac:dyDescent="0.25">
      <c r="G710" s="131">
        <f t="shared" ca="1" si="15"/>
        <v>0.31492216097650799</v>
      </c>
    </row>
    <row r="711" spans="7:7" x14ac:dyDescent="0.25">
      <c r="G711" s="131">
        <f t="shared" ca="1" si="15"/>
        <v>0.33735429157540658</v>
      </c>
    </row>
    <row r="712" spans="7:7" x14ac:dyDescent="0.25">
      <c r="G712" s="131">
        <f t="shared" ca="1" si="15"/>
        <v>4.4256099400035254</v>
      </c>
    </row>
    <row r="713" spans="7:7" x14ac:dyDescent="0.25">
      <c r="G713" s="131">
        <f t="shared" ca="1" si="15"/>
        <v>0.25164036527838879</v>
      </c>
    </row>
    <row r="714" spans="7:7" x14ac:dyDescent="0.25">
      <c r="G714" s="131">
        <f t="shared" ca="1" si="15"/>
        <v>0.38960874582592697</v>
      </c>
    </row>
    <row r="715" spans="7:7" x14ac:dyDescent="0.25">
      <c r="G715" s="131">
        <f t="shared" ca="1" si="15"/>
        <v>0.19444452291655556</v>
      </c>
    </row>
    <row r="716" spans="7:7" x14ac:dyDescent="0.25">
      <c r="G716" s="131">
        <f t="shared" ca="1" si="15"/>
        <v>0.38620574288944448</v>
      </c>
    </row>
    <row r="717" spans="7:7" x14ac:dyDescent="0.25">
      <c r="G717" s="131">
        <f t="shared" ca="1" si="15"/>
        <v>0.55142144875236754</v>
      </c>
    </row>
    <row r="718" spans="7:7" x14ac:dyDescent="0.25">
      <c r="G718" s="131">
        <f t="shared" ca="1" si="15"/>
        <v>0.2620352773516168</v>
      </c>
    </row>
    <row r="719" spans="7:7" x14ac:dyDescent="0.25">
      <c r="G719" s="131">
        <f t="shared" ca="1" si="15"/>
        <v>0.37912639905838608</v>
      </c>
    </row>
    <row r="720" spans="7:7" x14ac:dyDescent="0.25">
      <c r="G720" s="131">
        <f t="shared" ca="1" si="15"/>
        <v>0.27635480081075059</v>
      </c>
    </row>
    <row r="721" spans="7:7" x14ac:dyDescent="0.25">
      <c r="G721" s="131">
        <f t="shared" ca="1" si="15"/>
        <v>0.53368720274724468</v>
      </c>
    </row>
    <row r="722" spans="7:7" x14ac:dyDescent="0.25">
      <c r="G722" s="131">
        <f t="shared" ca="1" si="15"/>
        <v>0.4940856145953364</v>
      </c>
    </row>
    <row r="723" spans="7:7" x14ac:dyDescent="0.25">
      <c r="G723" s="131">
        <f t="shared" ca="1" si="15"/>
        <v>0.46756174816078738</v>
      </c>
    </row>
    <row r="724" spans="7:7" x14ac:dyDescent="0.25">
      <c r="G724" s="131">
        <f t="shared" ca="1" si="15"/>
        <v>0.37036661962165551</v>
      </c>
    </row>
    <row r="725" spans="7:7" x14ac:dyDescent="0.25">
      <c r="G725" s="131">
        <f t="shared" ca="1" si="15"/>
        <v>2.1620654053096149</v>
      </c>
    </row>
    <row r="726" spans="7:7" x14ac:dyDescent="0.25">
      <c r="G726" s="131">
        <f t="shared" ca="1" si="15"/>
        <v>2.0932564509122935</v>
      </c>
    </row>
    <row r="727" spans="7:7" x14ac:dyDescent="0.25">
      <c r="G727" s="131">
        <f t="shared" ca="1" si="15"/>
        <v>0.44490238183661007</v>
      </c>
    </row>
    <row r="728" spans="7:7" x14ac:dyDescent="0.25">
      <c r="G728" s="131">
        <f t="shared" ca="1" si="15"/>
        <v>1.8902049205728142</v>
      </c>
    </row>
    <row r="729" spans="7:7" x14ac:dyDescent="0.25">
      <c r="G729" s="131">
        <f t="shared" ca="1" si="15"/>
        <v>0.49018745461777574</v>
      </c>
    </row>
    <row r="730" spans="7:7" x14ac:dyDescent="0.25">
      <c r="G730" s="131">
        <f t="shared" ca="1" si="15"/>
        <v>0.23255917955711441</v>
      </c>
    </row>
    <row r="731" spans="7:7" x14ac:dyDescent="0.25">
      <c r="G731" s="131">
        <f t="shared" ca="1" si="15"/>
        <v>0.33656158913707485</v>
      </c>
    </row>
    <row r="732" spans="7:7" x14ac:dyDescent="0.25">
      <c r="G732" s="131">
        <f t="shared" ca="1" si="15"/>
        <v>0.6427397929708738</v>
      </c>
    </row>
    <row r="733" spans="7:7" x14ac:dyDescent="0.25">
      <c r="G733" s="131">
        <f t="shared" ca="1" si="15"/>
        <v>0.38599972463796756</v>
      </c>
    </row>
    <row r="734" spans="7:7" x14ac:dyDescent="0.25">
      <c r="G734" s="131">
        <f t="shared" ca="1" si="15"/>
        <v>0.21861380390028182</v>
      </c>
    </row>
    <row r="735" spans="7:7" x14ac:dyDescent="0.25">
      <c r="G735" s="131">
        <f t="shared" ca="1" si="15"/>
        <v>0.25356871191777108</v>
      </c>
    </row>
    <row r="736" spans="7:7" x14ac:dyDescent="0.25">
      <c r="G736" s="131">
        <f t="shared" ca="1" si="15"/>
        <v>0.32653930193326636</v>
      </c>
    </row>
    <row r="737" spans="7:7" x14ac:dyDescent="0.25">
      <c r="G737" s="131">
        <f t="shared" ca="1" si="15"/>
        <v>0.29259737282212361</v>
      </c>
    </row>
    <row r="738" spans="7:7" x14ac:dyDescent="0.25">
      <c r="G738" s="131">
        <f t="shared" ca="1" si="15"/>
        <v>0.35544897761514005</v>
      </c>
    </row>
    <row r="739" spans="7:7" x14ac:dyDescent="0.25">
      <c r="G739" s="131">
        <f t="shared" ca="1" si="15"/>
        <v>0.36235636640064978</v>
      </c>
    </row>
    <row r="740" spans="7:7" x14ac:dyDescent="0.25">
      <c r="G740" s="131">
        <f t="shared" ca="1" si="15"/>
        <v>0.19876547026758556</v>
      </c>
    </row>
    <row r="741" spans="7:7" x14ac:dyDescent="0.25">
      <c r="G741" s="131">
        <f t="shared" ca="1" si="15"/>
        <v>0.74383721513322243</v>
      </c>
    </row>
    <row r="742" spans="7:7" x14ac:dyDescent="0.25">
      <c r="G742" s="131">
        <f t="shared" ca="1" si="15"/>
        <v>0.23705871461986905</v>
      </c>
    </row>
    <row r="743" spans="7:7" x14ac:dyDescent="0.25">
      <c r="G743" s="131">
        <f t="shared" ca="1" si="15"/>
        <v>0.20101249093859783</v>
      </c>
    </row>
    <row r="744" spans="7:7" x14ac:dyDescent="0.25">
      <c r="G744" s="131">
        <f t="shared" ca="1" si="15"/>
        <v>0.27452429884479485</v>
      </c>
    </row>
    <row r="745" spans="7:7" x14ac:dyDescent="0.25">
      <c r="G745" s="131">
        <f t="shared" ca="1" si="15"/>
        <v>0.22050678525495213</v>
      </c>
    </row>
    <row r="746" spans="7:7" x14ac:dyDescent="0.25">
      <c r="G746" s="131">
        <f t="shared" ca="1" si="15"/>
        <v>0.48761359473345073</v>
      </c>
    </row>
    <row r="747" spans="7:7" x14ac:dyDescent="0.25">
      <c r="G747" s="131">
        <f t="shared" ca="1" si="15"/>
        <v>0.22419901055575181</v>
      </c>
    </row>
    <row r="748" spans="7:7" x14ac:dyDescent="0.25">
      <c r="G748" s="131">
        <f t="shared" ca="1" si="15"/>
        <v>1.3498511356735625</v>
      </c>
    </row>
    <row r="749" spans="7:7" x14ac:dyDescent="0.25">
      <c r="G749" s="131">
        <f t="shared" ca="1" si="15"/>
        <v>0.41260632912513506</v>
      </c>
    </row>
    <row r="750" spans="7:7" x14ac:dyDescent="0.25">
      <c r="G750" s="131">
        <f t="shared" ca="1" si="15"/>
        <v>0.28568116921033676</v>
      </c>
    </row>
    <row r="751" spans="7:7" x14ac:dyDescent="0.25">
      <c r="G751" s="131">
        <f t="shared" ca="1" si="15"/>
        <v>0.44237169941543353</v>
      </c>
    </row>
    <row r="752" spans="7:7" x14ac:dyDescent="0.25">
      <c r="G752" s="131">
        <f t="shared" ca="1" si="15"/>
        <v>0.28357342933853008</v>
      </c>
    </row>
    <row r="753" spans="7:7" x14ac:dyDescent="0.25">
      <c r="G753" s="131">
        <f t="shared" ca="1" si="15"/>
        <v>0.26792555194223594</v>
      </c>
    </row>
    <row r="754" spans="7:7" x14ac:dyDescent="0.25">
      <c r="G754" s="131">
        <f t="shared" ca="1" si="15"/>
        <v>0.42142620958590454</v>
      </c>
    </row>
    <row r="755" spans="7:7" x14ac:dyDescent="0.25">
      <c r="G755" s="131">
        <f t="shared" ca="1" si="15"/>
        <v>0.60274283505746462</v>
      </c>
    </row>
    <row r="756" spans="7:7" x14ac:dyDescent="0.25">
      <c r="G756" s="131">
        <f t="shared" ca="1" si="15"/>
        <v>0.22196021293501902</v>
      </c>
    </row>
    <row r="757" spans="7:7" x14ac:dyDescent="0.25">
      <c r="G757" s="131">
        <f t="shared" ca="1" si="15"/>
        <v>0.21709247874399029</v>
      </c>
    </row>
    <row r="758" spans="7:7" x14ac:dyDescent="0.25">
      <c r="G758" s="131">
        <f t="shared" ca="1" si="15"/>
        <v>0.21253552237578716</v>
      </c>
    </row>
    <row r="759" spans="7:7" x14ac:dyDescent="0.25">
      <c r="G759" s="131">
        <f t="shared" ca="1" si="15"/>
        <v>0.4372156182932434</v>
      </c>
    </row>
    <row r="760" spans="7:7" x14ac:dyDescent="0.25">
      <c r="G760" s="131">
        <f t="shared" ca="1" si="15"/>
        <v>0.26145508392714484</v>
      </c>
    </row>
    <row r="761" spans="7:7" x14ac:dyDescent="0.25">
      <c r="G761" s="131">
        <f t="shared" ca="1" si="15"/>
        <v>0.56046337352607223</v>
      </c>
    </row>
    <row r="762" spans="7:7" x14ac:dyDescent="0.25">
      <c r="G762" s="131">
        <f t="shared" ca="1" si="15"/>
        <v>0.21451641910295419</v>
      </c>
    </row>
    <row r="763" spans="7:7" x14ac:dyDescent="0.25">
      <c r="G763" s="131">
        <f t="shared" ca="1" si="15"/>
        <v>0.37016421036120334</v>
      </c>
    </row>
    <row r="764" spans="7:7" x14ac:dyDescent="0.25">
      <c r="G764" s="131">
        <f t="shared" ca="1" si="15"/>
        <v>1.1385238497809547</v>
      </c>
    </row>
    <row r="765" spans="7:7" x14ac:dyDescent="0.25">
      <c r="G765" s="131">
        <f t="shared" ca="1" si="15"/>
        <v>0.27683737696688615</v>
      </c>
    </row>
    <row r="766" spans="7:7" x14ac:dyDescent="0.25">
      <c r="G766" s="131">
        <f t="shared" ca="1" si="15"/>
        <v>0.33665615550616823</v>
      </c>
    </row>
    <row r="767" spans="7:7" x14ac:dyDescent="0.25">
      <c r="G767" s="131">
        <f t="shared" ca="1" si="15"/>
        <v>0.25515805009911174</v>
      </c>
    </row>
    <row r="768" spans="7:7" x14ac:dyDescent="0.25">
      <c r="G768" s="131">
        <f t="shared" ca="1" si="15"/>
        <v>1.0501476391538189</v>
      </c>
    </row>
    <row r="769" spans="7:7" x14ac:dyDescent="0.25">
      <c r="G769" s="131">
        <f t="shared" ca="1" si="15"/>
        <v>0.2677539268257208</v>
      </c>
    </row>
    <row r="770" spans="7:7" x14ac:dyDescent="0.25">
      <c r="G770" s="131">
        <f t="shared" ca="1" si="15"/>
        <v>0.2181526677886203</v>
      </c>
    </row>
    <row r="771" spans="7:7" x14ac:dyDescent="0.25">
      <c r="G771" s="131">
        <f t="shared" ca="1" si="15"/>
        <v>0.34641069828732718</v>
      </c>
    </row>
    <row r="772" spans="7:7" x14ac:dyDescent="0.25">
      <c r="G772" s="131">
        <f t="shared" ref="G772:G810" ca="1" si="16">_xlfn.WEIBULL.DIST(RAND(),0.52,1.3437,FALSE)</f>
        <v>0.43890426074209038</v>
      </c>
    </row>
    <row r="773" spans="7:7" x14ac:dyDescent="0.25">
      <c r="G773" s="131">
        <f t="shared" ca="1" si="16"/>
        <v>0.41965840420952982</v>
      </c>
    </row>
    <row r="774" spans="7:7" x14ac:dyDescent="0.25">
      <c r="G774" s="131">
        <f t="shared" ca="1" si="16"/>
        <v>0.72833366617239836</v>
      </c>
    </row>
    <row r="775" spans="7:7" x14ac:dyDescent="0.25">
      <c r="G775" s="131">
        <f t="shared" ca="1" si="16"/>
        <v>0.64638531435659308</v>
      </c>
    </row>
    <row r="776" spans="7:7" x14ac:dyDescent="0.25">
      <c r="G776" s="131">
        <f t="shared" ca="1" si="16"/>
        <v>0.29023246758703997</v>
      </c>
    </row>
    <row r="777" spans="7:7" x14ac:dyDescent="0.25">
      <c r="G777" s="131">
        <f t="shared" ca="1" si="16"/>
        <v>0.26513483533445226</v>
      </c>
    </row>
    <row r="778" spans="7:7" x14ac:dyDescent="0.25">
      <c r="G778" s="131">
        <f t="shared" ca="1" si="16"/>
        <v>1.4892273063900821</v>
      </c>
    </row>
    <row r="779" spans="7:7" x14ac:dyDescent="0.25">
      <c r="G779" s="131">
        <f t="shared" ca="1" si="16"/>
        <v>0.24492585398341307</v>
      </c>
    </row>
    <row r="780" spans="7:7" x14ac:dyDescent="0.25">
      <c r="G780" s="131">
        <f t="shared" ca="1" si="16"/>
        <v>0.22178970693425942</v>
      </c>
    </row>
    <row r="781" spans="7:7" x14ac:dyDescent="0.25">
      <c r="G781" s="131">
        <f t="shared" ca="1" si="16"/>
        <v>0.20620283520712643</v>
      </c>
    </row>
    <row r="782" spans="7:7" x14ac:dyDescent="0.25">
      <c r="G782" s="131">
        <f t="shared" ca="1" si="16"/>
        <v>0.55254297492855364</v>
      </c>
    </row>
    <row r="783" spans="7:7" x14ac:dyDescent="0.25">
      <c r="G783" s="131">
        <f t="shared" ca="1" si="16"/>
        <v>0.20758702167966309</v>
      </c>
    </row>
    <row r="784" spans="7:7" x14ac:dyDescent="0.25">
      <c r="G784" s="131">
        <f t="shared" ca="1" si="16"/>
        <v>0.2541730861862383</v>
      </c>
    </row>
    <row r="785" spans="7:7" x14ac:dyDescent="0.25">
      <c r="G785" s="131">
        <f t="shared" ca="1" si="16"/>
        <v>0.19942964348615513</v>
      </c>
    </row>
    <row r="786" spans="7:7" x14ac:dyDescent="0.25">
      <c r="G786" s="131">
        <f t="shared" ca="1" si="16"/>
        <v>0.32876914013088171</v>
      </c>
    </row>
    <row r="787" spans="7:7" x14ac:dyDescent="0.25">
      <c r="G787" s="131">
        <f t="shared" ca="1" si="16"/>
        <v>0.19295816708897079</v>
      </c>
    </row>
    <row r="788" spans="7:7" x14ac:dyDescent="0.25">
      <c r="G788" s="131">
        <f t="shared" ca="1" si="16"/>
        <v>0.25877418616498576</v>
      </c>
    </row>
    <row r="789" spans="7:7" x14ac:dyDescent="0.25">
      <c r="G789" s="131">
        <f t="shared" ca="1" si="16"/>
        <v>0.87532517141813815</v>
      </c>
    </row>
    <row r="790" spans="7:7" x14ac:dyDescent="0.25">
      <c r="G790" s="131">
        <f t="shared" ca="1" si="16"/>
        <v>0.48888338487234129</v>
      </c>
    </row>
    <row r="791" spans="7:7" x14ac:dyDescent="0.25">
      <c r="G791" s="131">
        <f t="shared" ca="1" si="16"/>
        <v>3.6236597923350149</v>
      </c>
    </row>
    <row r="792" spans="7:7" x14ac:dyDescent="0.25">
      <c r="G792" s="131">
        <f t="shared" ca="1" si="16"/>
        <v>0.50242865272900905</v>
      </c>
    </row>
    <row r="793" spans="7:7" x14ac:dyDescent="0.25">
      <c r="G793" s="131">
        <f t="shared" ca="1" si="16"/>
        <v>1.8711787745045423</v>
      </c>
    </row>
    <row r="794" spans="7:7" x14ac:dyDescent="0.25">
      <c r="G794" s="131">
        <f t="shared" ca="1" si="16"/>
        <v>3.6713908024063739</v>
      </c>
    </row>
    <row r="795" spans="7:7" x14ac:dyDescent="0.25">
      <c r="G795" s="131">
        <f t="shared" ca="1" si="16"/>
        <v>0.31358259748305972</v>
      </c>
    </row>
    <row r="796" spans="7:7" x14ac:dyDescent="0.25">
      <c r="G796" s="131">
        <f t="shared" ca="1" si="16"/>
        <v>0.30684265121797816</v>
      </c>
    </row>
    <row r="797" spans="7:7" x14ac:dyDescent="0.25">
      <c r="G797" s="131">
        <f t="shared" ca="1" si="16"/>
        <v>0.7792042630024516</v>
      </c>
    </row>
    <row r="798" spans="7:7" x14ac:dyDescent="0.25">
      <c r="G798" s="131">
        <f t="shared" ca="1" si="16"/>
        <v>0.32010465335480731</v>
      </c>
    </row>
    <row r="799" spans="7:7" x14ac:dyDescent="0.25">
      <c r="G799" s="131">
        <f t="shared" ca="1" si="16"/>
        <v>0.19870714883717819</v>
      </c>
    </row>
    <row r="800" spans="7:7" x14ac:dyDescent="0.25">
      <c r="G800" s="131">
        <f t="shared" ca="1" si="16"/>
        <v>0.20796116706519943</v>
      </c>
    </row>
    <row r="801" spans="7:7" x14ac:dyDescent="0.25">
      <c r="G801" s="131">
        <f t="shared" ca="1" si="16"/>
        <v>0.47370321055617309</v>
      </c>
    </row>
    <row r="802" spans="7:7" x14ac:dyDescent="0.25">
      <c r="G802" s="131">
        <f t="shared" ca="1" si="16"/>
        <v>0.24663686822779318</v>
      </c>
    </row>
    <row r="803" spans="7:7" x14ac:dyDescent="0.25">
      <c r="G803" s="131">
        <f t="shared" ca="1" si="16"/>
        <v>0.72886776669592235</v>
      </c>
    </row>
    <row r="804" spans="7:7" x14ac:dyDescent="0.25">
      <c r="G804" s="131">
        <f t="shared" ca="1" si="16"/>
        <v>3.0680931030393519</v>
      </c>
    </row>
    <row r="805" spans="7:7" x14ac:dyDescent="0.25">
      <c r="G805" s="131">
        <f t="shared" ca="1" si="16"/>
        <v>0.20711328604774026</v>
      </c>
    </row>
    <row r="806" spans="7:7" x14ac:dyDescent="0.25">
      <c r="G806" s="131">
        <f t="shared" ca="1" si="16"/>
        <v>1.6925150452734432</v>
      </c>
    </row>
    <row r="807" spans="7:7" x14ac:dyDescent="0.25">
      <c r="G807" s="131">
        <f t="shared" ca="1" si="16"/>
        <v>0.20156377044012844</v>
      </c>
    </row>
    <row r="808" spans="7:7" x14ac:dyDescent="0.25">
      <c r="G808" s="131">
        <f t="shared" ca="1" si="16"/>
        <v>0.3221658860466996</v>
      </c>
    </row>
    <row r="809" spans="7:7" x14ac:dyDescent="0.25">
      <c r="G809" s="131">
        <f t="shared" ca="1" si="16"/>
        <v>0.32664437344894026</v>
      </c>
    </row>
    <row r="810" spans="7:7" x14ac:dyDescent="0.25">
      <c r="G810" s="131">
        <f t="shared" ca="1" si="16"/>
        <v>0.43424226791805204</v>
      </c>
    </row>
  </sheetData>
  <mergeCells count="16">
    <mergeCell ref="B22:I22"/>
    <mergeCell ref="E42:I43"/>
    <mergeCell ref="E56:I56"/>
    <mergeCell ref="B12:I12"/>
    <mergeCell ref="E55:I55"/>
    <mergeCell ref="E50:I50"/>
    <mergeCell ref="E54:I54"/>
    <mergeCell ref="E46:I46"/>
    <mergeCell ref="E47:I47"/>
    <mergeCell ref="E48:I48"/>
    <mergeCell ref="E49:I49"/>
    <mergeCell ref="E57:I57"/>
    <mergeCell ref="E58:I58"/>
    <mergeCell ref="E59:I59"/>
    <mergeCell ref="E60:I60"/>
    <mergeCell ref="E61:I61"/>
  </mergeCells>
  <pageMargins left="0.25" right="0.25" top="0.75" bottom="0.75" header="0.3" footer="0.3"/>
  <pageSetup scale="93" fitToHeight="0" orientation="landscape" horizontalDpi="1200" verticalDpi="1200" r:id="rId1"/>
  <extLst>
    <ext xmlns:x14="http://schemas.microsoft.com/office/spreadsheetml/2009/9/main" uri="{CCE6A557-97BC-4b89-ADB6-D9C93CAAB3DF}">
      <x14:dataValidations xmlns:xm="http://schemas.microsoft.com/office/excel/2006/main" disablePrompts="1" count="5">
        <x14:dataValidation type="list" allowBlank="1" showInputMessage="1" showErrorMessage="1">
          <x14:formula1>
            <xm:f>LISTA!$C$10:$C$17</xm:f>
          </x14:formula1>
          <xm:sqref>C11:I11</xm:sqref>
        </x14:dataValidation>
        <x14:dataValidation type="list" allowBlank="1" showInputMessage="1" showErrorMessage="1">
          <x14:formula1>
            <xm:f>LISTA!$C$10:$C$14</xm:f>
          </x14:formula1>
          <xm:sqref>H34:H40 C41:I41 D43</xm:sqref>
        </x14:dataValidation>
        <x14:dataValidation type="list" allowBlank="1" showInputMessage="1" showErrorMessage="1">
          <x14:formula1>
            <xm:f>LISTA!$D$2:$D$7</xm:f>
          </x14:formula1>
          <xm:sqref>C10:I10</xm:sqref>
        </x14:dataValidation>
        <x14:dataValidation type="list" allowBlank="1" showInputMessage="1" showErrorMessage="1">
          <x14:formula1>
            <xm:f>LISTA!$A$2:$A$4</xm:f>
          </x14:formula1>
          <xm:sqref>C9:I9</xm:sqref>
        </x14:dataValidation>
        <x14:dataValidation type="list" allowBlank="1" showInputMessage="1" showErrorMessage="1">
          <x14:formula1>
            <xm:f>LISTA!$A$10:$A$17</xm:f>
          </x14:formula1>
          <xm:sqref>C35:F40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U118"/>
  <sheetViews>
    <sheetView workbookViewId="0">
      <selection activeCell="C1" sqref="C1"/>
    </sheetView>
  </sheetViews>
  <sheetFormatPr baseColWidth="10" defaultRowHeight="15" x14ac:dyDescent="0.25"/>
  <cols>
    <col min="1" max="1" width="6.7109375" style="199" customWidth="1"/>
    <col min="2" max="2" width="4" style="199" hidden="1" customWidth="1"/>
    <col min="3" max="3" width="15.28515625" style="199" customWidth="1"/>
    <col min="4" max="4" width="1" style="199" customWidth="1"/>
    <col min="5" max="5" width="7" style="199" customWidth="1"/>
    <col min="6" max="6" width="4" style="199" hidden="1" customWidth="1"/>
    <col min="7" max="7" width="15.28515625" style="199" customWidth="1"/>
    <col min="8" max="8" width="1" style="204" customWidth="1"/>
    <col min="9" max="10" width="11.5703125" style="204"/>
    <col min="12" max="12" width="12.28515625" customWidth="1"/>
    <col min="17" max="17" width="12" bestFit="1" customWidth="1"/>
    <col min="18" max="19" width="11.7109375" bestFit="1" customWidth="1"/>
  </cols>
  <sheetData>
    <row r="1" spans="1:21" x14ac:dyDescent="0.25">
      <c r="A1" s="203" t="s">
        <v>364</v>
      </c>
      <c r="B1" s="203">
        <v>1</v>
      </c>
      <c r="C1" s="203">
        <v>1</v>
      </c>
      <c r="L1" s="178" t="s">
        <v>141</v>
      </c>
      <c r="M1" s="82">
        <v>1</v>
      </c>
      <c r="N1" s="82">
        <v>2</v>
      </c>
      <c r="O1" s="82">
        <v>3</v>
      </c>
      <c r="P1" s="82">
        <v>4</v>
      </c>
      <c r="Q1" s="82">
        <v>5</v>
      </c>
      <c r="R1" s="82">
        <v>6</v>
      </c>
      <c r="S1" s="82">
        <v>7</v>
      </c>
      <c r="T1" s="185"/>
      <c r="U1" s="185"/>
    </row>
    <row r="2" spans="1:21" x14ac:dyDescent="0.25">
      <c r="L2" s="178" t="s">
        <v>377</v>
      </c>
      <c r="M2" s="143">
        <f>J7</f>
        <v>20554</v>
      </c>
      <c r="N2" s="143">
        <f>J24</f>
        <v>8833.5</v>
      </c>
      <c r="O2" s="143">
        <f>J41</f>
        <v>2635.5</v>
      </c>
      <c r="P2" s="143">
        <f>J58</f>
        <v>5458.5</v>
      </c>
      <c r="Q2" s="143">
        <f>J75</f>
        <v>3910</v>
      </c>
      <c r="R2" s="143">
        <f>J92</f>
        <v>2932</v>
      </c>
      <c r="S2" s="143">
        <f>J109</f>
        <v>22745</v>
      </c>
      <c r="T2" s="144"/>
      <c r="U2" s="144"/>
    </row>
    <row r="3" spans="1:21" ht="23.25" x14ac:dyDescent="0.25">
      <c r="A3" s="193" t="s">
        <v>356</v>
      </c>
      <c r="B3" s="194"/>
      <c r="C3" s="194" t="s">
        <v>354</v>
      </c>
      <c r="E3" s="175" t="s">
        <v>356</v>
      </c>
      <c r="F3" s="195"/>
      <c r="G3" s="195" t="s">
        <v>354</v>
      </c>
      <c r="L3" s="192" t="s">
        <v>376</v>
      </c>
      <c r="M3" s="143">
        <f>J8</f>
        <v>16000</v>
      </c>
      <c r="N3" s="143">
        <f>J25</f>
        <v>4721</v>
      </c>
      <c r="O3" s="143">
        <f>J42</f>
        <v>91</v>
      </c>
      <c r="P3" s="143">
        <f>J59</f>
        <v>4721</v>
      </c>
      <c r="Q3" s="143">
        <f>J76</f>
        <v>3910</v>
      </c>
      <c r="R3" s="143">
        <f>J93</f>
        <v>2590</v>
      </c>
      <c r="S3" s="143">
        <f>J110</f>
        <v>22472</v>
      </c>
      <c r="T3" s="144"/>
      <c r="U3" s="144"/>
    </row>
    <row r="4" spans="1:21" x14ac:dyDescent="0.25">
      <c r="A4" s="193" t="s">
        <v>357</v>
      </c>
      <c r="B4" s="194"/>
      <c r="C4" s="198" t="s">
        <v>365</v>
      </c>
      <c r="E4" s="175" t="s">
        <v>357</v>
      </c>
      <c r="F4" s="195"/>
      <c r="G4" s="195" t="s">
        <v>367</v>
      </c>
      <c r="L4" s="178" t="s">
        <v>110</v>
      </c>
      <c r="M4" s="143" t="str">
        <f>MCI!C24</f>
        <v>Lomerío</v>
      </c>
      <c r="N4" s="143" t="str">
        <f>MCI!D24</f>
        <v>Montañoso</v>
      </c>
      <c r="O4" s="143" t="str">
        <f>MCI!E24</f>
        <v>Montañoso</v>
      </c>
      <c r="P4" s="143" t="str">
        <f>MCI!F24</f>
        <v>Montañoso</v>
      </c>
      <c r="Q4" s="143" t="str">
        <f>MCI!G24</f>
        <v>Lomerío</v>
      </c>
      <c r="R4" s="143" t="str">
        <f>MCI!H24</f>
        <v>Lomerío</v>
      </c>
      <c r="S4" s="143" t="str">
        <f>MCI!I24</f>
        <v>Lomerío</v>
      </c>
      <c r="T4" s="144"/>
      <c r="U4" s="144"/>
    </row>
    <row r="5" spans="1:21" x14ac:dyDescent="0.25">
      <c r="A5" s="193" t="s">
        <v>358</v>
      </c>
      <c r="B5" s="194"/>
      <c r="C5" s="194">
        <v>1</v>
      </c>
      <c r="E5" s="175" t="s">
        <v>358</v>
      </c>
      <c r="F5" s="195"/>
      <c r="G5" s="195">
        <v>1</v>
      </c>
      <c r="L5" s="178" t="s">
        <v>125</v>
      </c>
      <c r="M5" s="143">
        <f>MCI!C25</f>
        <v>4</v>
      </c>
      <c r="N5" s="143">
        <f>MCI!D25</f>
        <v>6</v>
      </c>
      <c r="O5" s="143">
        <f>MCI!E25</f>
        <v>4</v>
      </c>
      <c r="P5" s="143">
        <f>MCI!F25</f>
        <v>4</v>
      </c>
      <c r="Q5" s="143">
        <f>MCI!G25</f>
        <v>8</v>
      </c>
      <c r="R5" s="143">
        <f>MCI!H25</f>
        <v>4</v>
      </c>
      <c r="S5" s="143">
        <f>MCI!I25</f>
        <v>2</v>
      </c>
      <c r="T5" s="88"/>
      <c r="U5" s="185"/>
    </row>
    <row r="6" spans="1:21" x14ac:dyDescent="0.25">
      <c r="A6" s="193" t="s">
        <v>359</v>
      </c>
      <c r="B6" s="194"/>
      <c r="C6" s="194">
        <v>1</v>
      </c>
      <c r="E6" s="175" t="s">
        <v>359</v>
      </c>
      <c r="F6" s="195"/>
      <c r="G6" s="195">
        <v>1</v>
      </c>
    </row>
    <row r="7" spans="1:21" ht="23.25" x14ac:dyDescent="0.25">
      <c r="A7" s="193" t="s">
        <v>361</v>
      </c>
      <c r="B7" s="194"/>
      <c r="C7" s="198" t="s">
        <v>366</v>
      </c>
      <c r="E7" s="175" t="s">
        <v>361</v>
      </c>
      <c r="F7" s="195"/>
      <c r="G7" s="200" t="s">
        <v>368</v>
      </c>
      <c r="I7" s="196" t="s">
        <v>377</v>
      </c>
      <c r="J7" s="197">
        <f>AVERAGE(C8,G8)</f>
        <v>20554</v>
      </c>
      <c r="L7" s="342" t="s">
        <v>388</v>
      </c>
      <c r="M7" s="342"/>
      <c r="N7" s="342"/>
      <c r="O7" s="342"/>
      <c r="P7" s="342"/>
      <c r="Q7" s="342"/>
      <c r="R7" s="342"/>
      <c r="S7" s="342"/>
    </row>
    <row r="8" spans="1:21" x14ac:dyDescent="0.25">
      <c r="A8" s="193" t="s">
        <v>2</v>
      </c>
      <c r="B8" s="194"/>
      <c r="C8" s="194">
        <v>16000</v>
      </c>
      <c r="E8" s="175" t="s">
        <v>2</v>
      </c>
      <c r="F8" s="195"/>
      <c r="G8" s="195">
        <v>25108</v>
      </c>
      <c r="I8" s="196" t="s">
        <v>376</v>
      </c>
      <c r="J8" s="197">
        <f>MIN(C8,G8)</f>
        <v>16000</v>
      </c>
      <c r="L8" s="196" t="s">
        <v>69</v>
      </c>
      <c r="M8" s="220">
        <f t="shared" ref="M8:M15" si="0">J9</f>
        <v>0.79749999999999999</v>
      </c>
      <c r="N8" s="220">
        <f t="shared" ref="N8:N15" si="1">J26</f>
        <v>0.82350000000000001</v>
      </c>
      <c r="O8" s="220">
        <f t="shared" ref="O8:O15" si="2">J43</f>
        <v>0.63500000000000001</v>
      </c>
      <c r="P8" s="220">
        <f t="shared" ref="P8:P15" si="3">J60</f>
        <v>0.77299999999999991</v>
      </c>
      <c r="Q8" s="220">
        <f t="shared" ref="Q8:Q15" si="4">J77</f>
        <v>0.81200000000000006</v>
      </c>
      <c r="R8" s="220">
        <f t="shared" ref="R8:R15" si="5">J94</f>
        <v>0.63700000000000001</v>
      </c>
      <c r="S8" s="220">
        <f t="shared" ref="S8:S15" si="6">J111</f>
        <v>0.69550000000000001</v>
      </c>
    </row>
    <row r="9" spans="1:21" x14ac:dyDescent="0.25">
      <c r="A9" s="193" t="s">
        <v>69</v>
      </c>
      <c r="B9" s="193">
        <v>83.6</v>
      </c>
      <c r="C9" s="205">
        <f t="shared" ref="C9:C15" si="7">B9/100</f>
        <v>0.83599999999999997</v>
      </c>
      <c r="E9" s="175" t="s">
        <v>69</v>
      </c>
      <c r="F9" s="175">
        <v>75.900000000000006</v>
      </c>
      <c r="G9" s="206">
        <f t="shared" ref="G9:G15" si="8">F9/100</f>
        <v>0.75900000000000001</v>
      </c>
      <c r="I9" s="196" t="s">
        <v>69</v>
      </c>
      <c r="J9" s="207">
        <f t="shared" ref="J9:J15" si="9">AVERAGE(C9,G9)</f>
        <v>0.79749999999999999</v>
      </c>
      <c r="L9" s="196" t="s">
        <v>70</v>
      </c>
      <c r="M9" s="220">
        <f t="shared" si="0"/>
        <v>0.04</v>
      </c>
      <c r="N9" s="220">
        <f t="shared" si="1"/>
        <v>2.5500000000000002E-2</v>
      </c>
      <c r="O9" s="220">
        <f t="shared" si="2"/>
        <v>3.15E-2</v>
      </c>
      <c r="P9" s="220">
        <f t="shared" si="3"/>
        <v>3.6500000000000005E-2</v>
      </c>
      <c r="Q9" s="220">
        <f t="shared" si="4"/>
        <v>4.4000000000000004E-2</v>
      </c>
      <c r="R9" s="220">
        <f t="shared" si="5"/>
        <v>3.6000000000000004E-2</v>
      </c>
      <c r="S9" s="220">
        <f t="shared" si="6"/>
        <v>5.2500000000000005E-2</v>
      </c>
    </row>
    <row r="10" spans="1:21" x14ac:dyDescent="0.25">
      <c r="A10" s="193" t="s">
        <v>70</v>
      </c>
      <c r="B10" s="193">
        <v>2.8</v>
      </c>
      <c r="C10" s="205">
        <f t="shared" si="7"/>
        <v>2.7999999999999997E-2</v>
      </c>
      <c r="E10" s="175" t="s">
        <v>70</v>
      </c>
      <c r="F10" s="175">
        <v>5.2</v>
      </c>
      <c r="G10" s="206">
        <f t="shared" si="8"/>
        <v>5.2000000000000005E-2</v>
      </c>
      <c r="I10" s="196" t="s">
        <v>70</v>
      </c>
      <c r="J10" s="207">
        <f t="shared" si="9"/>
        <v>0.04</v>
      </c>
      <c r="L10" s="196" t="s">
        <v>29</v>
      </c>
      <c r="M10" s="220">
        <f t="shared" si="0"/>
        <v>7.2500000000000009E-2</v>
      </c>
      <c r="N10" s="220">
        <f t="shared" si="1"/>
        <v>6.7000000000000004E-2</v>
      </c>
      <c r="O10" s="220">
        <f t="shared" si="2"/>
        <v>7.5500000000000012E-2</v>
      </c>
      <c r="P10" s="220">
        <f t="shared" si="3"/>
        <v>7.1000000000000008E-2</v>
      </c>
      <c r="Q10" s="220">
        <f t="shared" si="4"/>
        <v>6.4000000000000001E-2</v>
      </c>
      <c r="R10" s="220">
        <f t="shared" si="5"/>
        <v>7.0500000000000007E-2</v>
      </c>
      <c r="S10" s="220">
        <f t="shared" si="6"/>
        <v>5.0499999999999996E-2</v>
      </c>
    </row>
    <row r="11" spans="1:21" x14ac:dyDescent="0.25">
      <c r="A11" s="193" t="s">
        <v>29</v>
      </c>
      <c r="B11" s="193">
        <v>6</v>
      </c>
      <c r="C11" s="205">
        <f t="shared" si="7"/>
        <v>0.06</v>
      </c>
      <c r="E11" s="175" t="s">
        <v>29</v>
      </c>
      <c r="F11" s="175">
        <v>8.5</v>
      </c>
      <c r="G11" s="206">
        <f t="shared" si="8"/>
        <v>8.5000000000000006E-2</v>
      </c>
      <c r="I11" s="196" t="s">
        <v>29</v>
      </c>
      <c r="J11" s="207">
        <f t="shared" si="9"/>
        <v>7.2500000000000009E-2</v>
      </c>
      <c r="L11" s="196" t="s">
        <v>71</v>
      </c>
      <c r="M11" s="220">
        <f t="shared" si="0"/>
        <v>1.8500000000000003E-2</v>
      </c>
      <c r="N11" s="220">
        <f t="shared" si="1"/>
        <v>0.02</v>
      </c>
      <c r="O11" s="220">
        <f t="shared" si="2"/>
        <v>3.0000000000000002E-2</v>
      </c>
      <c r="P11" s="220">
        <f t="shared" si="3"/>
        <v>2.4E-2</v>
      </c>
      <c r="Q11" s="220">
        <f t="shared" si="4"/>
        <v>2.3E-2</v>
      </c>
      <c r="R11" s="220">
        <f t="shared" si="5"/>
        <v>2.9500000000000002E-2</v>
      </c>
      <c r="S11" s="220">
        <f t="shared" si="6"/>
        <v>3.4000000000000002E-2</v>
      </c>
    </row>
    <row r="12" spans="1:21" x14ac:dyDescent="0.25">
      <c r="A12" s="193" t="s">
        <v>71</v>
      </c>
      <c r="B12" s="193">
        <v>1.2</v>
      </c>
      <c r="C12" s="205">
        <f t="shared" si="7"/>
        <v>1.2E-2</v>
      </c>
      <c r="E12" s="175" t="s">
        <v>71</v>
      </c>
      <c r="F12" s="175">
        <v>2.5</v>
      </c>
      <c r="G12" s="206">
        <f t="shared" si="8"/>
        <v>2.5000000000000001E-2</v>
      </c>
      <c r="I12" s="196" t="s">
        <v>71</v>
      </c>
      <c r="J12" s="207">
        <f t="shared" si="9"/>
        <v>1.8500000000000003E-2</v>
      </c>
      <c r="L12" s="196" t="s">
        <v>72</v>
      </c>
      <c r="M12" s="220">
        <f t="shared" si="0"/>
        <v>4.2999999999999997E-2</v>
      </c>
      <c r="N12" s="220">
        <f t="shared" si="1"/>
        <v>3.5000000000000003E-2</v>
      </c>
      <c r="O12" s="220">
        <f t="shared" si="2"/>
        <v>0.16599999999999998</v>
      </c>
      <c r="P12" s="220">
        <f t="shared" si="3"/>
        <v>6.7000000000000004E-2</v>
      </c>
      <c r="Q12" s="220">
        <f t="shared" si="4"/>
        <v>3.6000000000000004E-2</v>
      </c>
      <c r="R12" s="220">
        <f t="shared" si="5"/>
        <v>0.16249999999999998</v>
      </c>
      <c r="S12" s="220">
        <f t="shared" si="6"/>
        <v>0.10299999999999999</v>
      </c>
    </row>
    <row r="13" spans="1:21" x14ac:dyDescent="0.25">
      <c r="A13" s="193" t="s">
        <v>72</v>
      </c>
      <c r="B13" s="193">
        <v>4</v>
      </c>
      <c r="C13" s="205">
        <f t="shared" si="7"/>
        <v>0.04</v>
      </c>
      <c r="E13" s="175" t="s">
        <v>72</v>
      </c>
      <c r="F13" s="175">
        <v>4.5999999999999996</v>
      </c>
      <c r="G13" s="206">
        <f t="shared" si="8"/>
        <v>4.5999999999999999E-2</v>
      </c>
      <c r="I13" s="196" t="s">
        <v>72</v>
      </c>
      <c r="J13" s="207">
        <f t="shared" si="9"/>
        <v>4.2999999999999997E-2</v>
      </c>
      <c r="L13" s="196" t="s">
        <v>73</v>
      </c>
      <c r="M13" s="220">
        <f t="shared" si="0"/>
        <v>1.55E-2</v>
      </c>
      <c r="N13" s="220">
        <f t="shared" si="1"/>
        <v>1.2999999999999999E-2</v>
      </c>
      <c r="O13" s="220">
        <f t="shared" si="2"/>
        <v>3.8500000000000006E-2</v>
      </c>
      <c r="P13" s="220">
        <f t="shared" si="3"/>
        <v>1.8000000000000002E-2</v>
      </c>
      <c r="Q13" s="220">
        <f t="shared" si="4"/>
        <v>1.1000000000000001E-2</v>
      </c>
      <c r="R13" s="220">
        <f t="shared" si="5"/>
        <v>3.5500000000000004E-2</v>
      </c>
      <c r="S13" s="220">
        <f t="shared" si="6"/>
        <v>3.3500000000000002E-2</v>
      </c>
    </row>
    <row r="14" spans="1:21" x14ac:dyDescent="0.25">
      <c r="A14" s="193" t="s">
        <v>73</v>
      </c>
      <c r="B14" s="193">
        <v>1.4</v>
      </c>
      <c r="C14" s="205">
        <f t="shared" si="7"/>
        <v>1.3999999999999999E-2</v>
      </c>
      <c r="E14" s="175" t="s">
        <v>73</v>
      </c>
      <c r="F14" s="175">
        <v>1.7</v>
      </c>
      <c r="G14" s="206">
        <f t="shared" si="8"/>
        <v>1.7000000000000001E-2</v>
      </c>
      <c r="I14" s="196" t="s">
        <v>73</v>
      </c>
      <c r="J14" s="207">
        <f t="shared" si="9"/>
        <v>1.55E-2</v>
      </c>
      <c r="L14" s="196" t="s">
        <v>74</v>
      </c>
      <c r="M14" s="220">
        <f t="shared" si="0"/>
        <v>1.0999999999999999E-2</v>
      </c>
      <c r="N14" s="220">
        <f t="shared" si="1"/>
        <v>1.2500000000000001E-2</v>
      </c>
      <c r="O14" s="220">
        <f t="shared" si="2"/>
        <v>1.4999999999999999E-2</v>
      </c>
      <c r="P14" s="220">
        <f t="shared" si="3"/>
        <v>7.0000000000000001E-3</v>
      </c>
      <c r="Q14" s="220">
        <f t="shared" si="4"/>
        <v>8.0000000000000002E-3</v>
      </c>
      <c r="R14" s="220">
        <f t="shared" si="5"/>
        <v>1.95E-2</v>
      </c>
      <c r="S14" s="220">
        <f t="shared" si="6"/>
        <v>2.75E-2</v>
      </c>
    </row>
    <row r="15" spans="1:21" x14ac:dyDescent="0.25">
      <c r="A15" s="193" t="s">
        <v>74</v>
      </c>
      <c r="B15" s="193">
        <v>0.8</v>
      </c>
      <c r="C15" s="205">
        <f t="shared" si="7"/>
        <v>8.0000000000000002E-3</v>
      </c>
      <c r="E15" s="175" t="s">
        <v>74</v>
      </c>
      <c r="F15" s="175">
        <v>1.4</v>
      </c>
      <c r="G15" s="206">
        <f t="shared" si="8"/>
        <v>1.3999999999999999E-2</v>
      </c>
      <c r="I15" s="196" t="s">
        <v>74</v>
      </c>
      <c r="J15" s="207">
        <f t="shared" si="9"/>
        <v>1.0999999999999999E-2</v>
      </c>
      <c r="L15" s="196" t="s">
        <v>75</v>
      </c>
      <c r="M15" s="220">
        <f t="shared" si="0"/>
        <v>2.0000000000000018E-3</v>
      </c>
      <c r="N15" s="220">
        <f t="shared" si="1"/>
        <v>3.5000000000000586E-3</v>
      </c>
      <c r="O15" s="220">
        <f t="shared" si="2"/>
        <v>8.5000000000000631E-3</v>
      </c>
      <c r="P15" s="220">
        <f t="shared" si="3"/>
        <v>3.5000000000001696E-3</v>
      </c>
      <c r="Q15" s="220">
        <f t="shared" si="4"/>
        <v>1.9999999999997797E-3</v>
      </c>
      <c r="R15" s="220">
        <f t="shared" si="5"/>
        <v>9.5000000000000639E-3</v>
      </c>
      <c r="S15" s="220">
        <f t="shared" si="6"/>
        <v>3.5000000000000586E-3</v>
      </c>
    </row>
    <row r="16" spans="1:21" x14ac:dyDescent="0.25">
      <c r="A16" s="193" t="s">
        <v>75</v>
      </c>
      <c r="B16" s="193"/>
      <c r="C16" s="205">
        <f>1-SUM(C9:C15)</f>
        <v>2.0000000000000018E-3</v>
      </c>
      <c r="E16" s="175" t="s">
        <v>75</v>
      </c>
      <c r="F16" s="175"/>
      <c r="G16" s="206">
        <f>1-SUM(G9:G15)</f>
        <v>1.9999999999998908E-3</v>
      </c>
      <c r="I16" s="196" t="s">
        <v>75</v>
      </c>
      <c r="J16" s="207">
        <f>1-SUM(J9:J15)</f>
        <v>2.0000000000000018E-3</v>
      </c>
    </row>
    <row r="17" spans="1:21" x14ac:dyDescent="0.25">
      <c r="L17" s="346" t="s">
        <v>286</v>
      </c>
      <c r="M17" s="343" t="s">
        <v>69</v>
      </c>
      <c r="N17" s="343" t="s">
        <v>237</v>
      </c>
      <c r="O17" s="343" t="s">
        <v>28</v>
      </c>
      <c r="P17" s="343" t="s">
        <v>238</v>
      </c>
      <c r="Q17" s="343" t="s">
        <v>69</v>
      </c>
      <c r="R17" s="343" t="s">
        <v>237</v>
      </c>
      <c r="S17" s="343" t="s">
        <v>28</v>
      </c>
      <c r="T17" s="345" t="s">
        <v>238</v>
      </c>
      <c r="U17" s="341"/>
    </row>
    <row r="18" spans="1:21" x14ac:dyDescent="0.25">
      <c r="A18" s="203" t="s">
        <v>364</v>
      </c>
      <c r="B18" s="203">
        <f>B1+1</f>
        <v>2</v>
      </c>
      <c r="C18" s="203">
        <f>C1+1</f>
        <v>2</v>
      </c>
      <c r="L18" s="347"/>
      <c r="M18" s="344"/>
      <c r="N18" s="344"/>
      <c r="O18" s="344"/>
      <c r="P18" s="344"/>
      <c r="Q18" s="344"/>
      <c r="R18" s="344"/>
      <c r="S18" s="344"/>
      <c r="T18" s="345"/>
      <c r="U18" s="341"/>
    </row>
    <row r="19" spans="1:21" x14ac:dyDescent="0.25">
      <c r="L19" s="196" t="s">
        <v>377</v>
      </c>
      <c r="M19" s="21">
        <f>MCI!C31</f>
        <v>1</v>
      </c>
      <c r="N19" s="21">
        <f>MCI!D31</f>
        <v>2</v>
      </c>
      <c r="O19" s="21">
        <f>MCI!E31</f>
        <v>4</v>
      </c>
      <c r="P19" s="21" t="str">
        <f>MCI!F31</f>
        <v>N/A</v>
      </c>
      <c r="Q19" s="135">
        <f>IF(M19=$M$1,$M$2,IF(M19=$N$1,$N$2,IF(M19=$O$1,$O$2,IF(M19=$P$1,$P$2,IF(M19=$Q$1,$Q$2,IF(M19=$R$1,$R$2,IF(M19=$S$1,$S$2,"N/A")))))))</f>
        <v>20554</v>
      </c>
      <c r="R19" s="135">
        <f>IF(N19=$M$1,$M$2,IF(N19=$N$1,$N$2,IF(N19=$O$1,$O$2,IF(N19=$P$1,$P$2,IF(N19=$Q$1,$Q$2,IF(N19=$R$1,$R$2,IF(N19=$S$1,$S$2,"N/A")))))))</f>
        <v>8833.5</v>
      </c>
      <c r="S19" s="135">
        <f>IF(O19=$M$1,$M$2,IF(O19=$N$1,$N$2,IF(O19=$O$1,$O$2,IF(O19=$P$1,$P$2,IF(O19=$Q$1,$Q$2,IF(O19=$R$1,$R$2,IF(O19=$S$1,$S$2,"N/A")))))))</f>
        <v>5458.5</v>
      </c>
      <c r="T19" s="135" t="str">
        <f>IF(P19=$M$1,$M$2,IF(P19=$N$1,$N$2,IF(P19=$O$1,$O$2,IF(P19=$P$1,$P$2,IF(P19=$Q$1,$Q$2,IF(P19=$R$1,$R$2,IF(P19=$S$1,$S$2,"N/A")))))))</f>
        <v>N/A</v>
      </c>
      <c r="U19" s="135">
        <f>MIN(Q19:T19)</f>
        <v>5458.5</v>
      </c>
    </row>
    <row r="20" spans="1:21" ht="23.25" x14ac:dyDescent="0.25">
      <c r="A20" s="175" t="s">
        <v>356</v>
      </c>
      <c r="B20" s="195"/>
      <c r="C20" s="195" t="s">
        <v>354</v>
      </c>
      <c r="E20" s="193" t="s">
        <v>356</v>
      </c>
      <c r="F20" s="194"/>
      <c r="G20" s="194" t="s">
        <v>354</v>
      </c>
      <c r="L20" s="196" t="s">
        <v>376</v>
      </c>
      <c r="M20" s="186">
        <f>M19</f>
        <v>1</v>
      </c>
      <c r="N20" s="186">
        <f t="shared" ref="N20:P20" si="10">N19</f>
        <v>2</v>
      </c>
      <c r="O20" s="186">
        <f t="shared" si="10"/>
        <v>4</v>
      </c>
      <c r="P20" s="186" t="str">
        <f t="shared" si="10"/>
        <v>N/A</v>
      </c>
      <c r="Q20" s="135">
        <f>IF(M19=$M$1,$M$3,IF(M19=$N$1,$N$3,IF(M19=$O$1,$O$3,IF(M19=$P$1,$P$3,IF(M19=$Q$1,$Q$3,IF(M19=$R$1,$R$3,IF(M19=$S$1,$S$3,"N/A")))))))</f>
        <v>16000</v>
      </c>
      <c r="R20" s="135">
        <f>IF(N19=$M$1,$M$3,IF(N19=$N$1,$N$3,IF(N19=$O$1,$O$3,IF(N19=$P$1,$P$3,IF(N19=$Q$1,$Q$3,IF(N19=$R$1,$R$3,IF(N19=$S$1,$S$3,"N/A")))))))</f>
        <v>4721</v>
      </c>
      <c r="S20" s="135">
        <f>IF(O19=$M$1,$M$3,IF(O19=$N$1,$N$3,IF(O19=$O$1,$O$3,IF(O19=$P$1,$P$3,IF(O19=$Q$1,$Q$3,IF(O19=$R$1,$R$3,IF(O19=$S$1,$S$3,"N/A")))))))</f>
        <v>4721</v>
      </c>
      <c r="T20" s="135" t="str">
        <f>IF(P19=$M$1,$M$3,IF(P19=$N$1,$N$3,IF(P19=$O$1,$O$3,IF(P19=$P$1,$P$3,IF(P19=$Q$1,$Q$3,IF(P19=$R$1,$R$3,IF(P19=$S$1,$S$3,"N/A")))))))</f>
        <v>N/A</v>
      </c>
      <c r="U20" s="135">
        <f>MIN(Q20:T20)</f>
        <v>4721</v>
      </c>
    </row>
    <row r="21" spans="1:21" x14ac:dyDescent="0.25">
      <c r="A21" s="175" t="s">
        <v>357</v>
      </c>
      <c r="B21" s="195"/>
      <c r="C21" s="200" t="s">
        <v>365</v>
      </c>
      <c r="E21" s="193" t="s">
        <v>357</v>
      </c>
      <c r="F21" s="194"/>
      <c r="G21" s="194" t="s">
        <v>370</v>
      </c>
      <c r="L21" s="196" t="s">
        <v>69</v>
      </c>
      <c r="M21" s="186">
        <f t="shared" ref="M21:M28" si="11">M20</f>
        <v>1</v>
      </c>
      <c r="N21" s="186">
        <f t="shared" ref="N21:N28" si="12">N20</f>
        <v>2</v>
      </c>
      <c r="O21" s="186">
        <f t="shared" ref="O21:O28" si="13">O20</f>
        <v>4</v>
      </c>
      <c r="P21" s="186" t="str">
        <f t="shared" ref="P21:P28" si="14">P20</f>
        <v>N/A</v>
      </c>
      <c r="Q21" s="221">
        <f>IF(M19=$M$1,$M$8,IF(M19=$N$1,$N$8,IF(M19=$O$1,$O$8,IF(M19=$P$1,$P$8,IF(M19=$Q$1,$Q$8,IF(M19=$R$1,$R$8,IF(M19=$S$1,$S$8,"N/A")))))))</f>
        <v>0.79749999999999999</v>
      </c>
      <c r="R21" s="221">
        <f>IF(N19=$M$1,$M$8,IF(N19=$N$1,$N$8,IF(N19=$O$1,$O$8,IF(N19=$P$1,$P$8,IF(N19=$Q$1,$Q$8,IF(N19=$R$1,$R$8,IF(N19=$S$1,$S$8,"N/A")))))))</f>
        <v>0.82350000000000001</v>
      </c>
      <c r="S21" s="221">
        <f>IF(O19=$M$1,$M$8,IF(O19=$N$1,$N$8,IF(O19=$O$1,$O$8,IF(O19=$P$1,$P$8,IF(O19=$Q$1,$Q$8,IF(O19=$R$1,$R$8,IF(O19=$S$1,$S$8,"N/A")))))))</f>
        <v>0.77299999999999991</v>
      </c>
      <c r="T21" s="221" t="str">
        <f>IF(P19=$M$1,$M$8,IF(P19=$N$1,$N$8,IF(P19=$O$1,$O$8,IF(P19=$P$1,$P$8,IF(P19=$Q$1,$Q$8,IF(P19=$R$1,$R$8,IF(P19=$S$1,$S$8,"N/A")))))))</f>
        <v>N/A</v>
      </c>
      <c r="U21" s="222">
        <f>AVERAGE(Q21:T21)</f>
        <v>0.79800000000000004</v>
      </c>
    </row>
    <row r="22" spans="1:21" x14ac:dyDescent="0.25">
      <c r="A22" s="175" t="s">
        <v>358</v>
      </c>
      <c r="B22" s="195"/>
      <c r="C22" s="195">
        <v>3</v>
      </c>
      <c r="E22" s="193" t="s">
        <v>358</v>
      </c>
      <c r="F22" s="194"/>
      <c r="G22" s="194">
        <v>3</v>
      </c>
      <c r="L22" s="196" t="s">
        <v>70</v>
      </c>
      <c r="M22" s="186">
        <f t="shared" si="11"/>
        <v>1</v>
      </c>
      <c r="N22" s="186">
        <f t="shared" si="12"/>
        <v>2</v>
      </c>
      <c r="O22" s="186">
        <f t="shared" si="13"/>
        <v>4</v>
      </c>
      <c r="P22" s="186" t="str">
        <f t="shared" si="14"/>
        <v>N/A</v>
      </c>
      <c r="Q22" s="221">
        <f>IF(M19=$M$1,$M$9,IF(M19=$N$1,$N$9,IF(M19=$O$1,$O$9,IF(M19=$P$1,$P$9,IF(M19=$Q$1,$Q$9,IF(M19=$R$1,$R$9,IF(M19=$S$1,$S$9,"N/A")))))))</f>
        <v>0.04</v>
      </c>
      <c r="R22" s="221">
        <f>IF(N19=$M$1,$M$9,IF(N19=$N$1,$N$9,IF(N19=$O$1,$O$9,IF(N19=$P$1,$P$9,IF(N19=$Q$1,$Q$9,IF(N19=$R$1,$R$9,IF(N19=$S$1,$S$9,"N/A")))))))</f>
        <v>2.5500000000000002E-2</v>
      </c>
      <c r="S22" s="221">
        <f>IF(O19=$M$1,$M$9,IF(O19=$N$1,$N$9,IF(O19=$O$1,$O$9,IF(O19=$P$1,$P$9,IF(O19=$Q$1,$Q$9,IF(O19=$R$1,$R$9,IF(O19=$S$1,$S$9,"N/A")))))))</f>
        <v>3.6500000000000005E-2</v>
      </c>
      <c r="T22" s="221" t="str">
        <f>IF(P19=$M$1,$M$9,IF(P19=$N$1,$N$9,IF(P19=$O$1,$O$9,IF(P19=$P$1,$P$9,IF(P19=$Q$1,$Q$9,IF(P19=$R$1,$R$9,IF(P19=$S$1,$S$9,"N/A")))))))</f>
        <v>N/A</v>
      </c>
      <c r="U22" s="222">
        <f t="shared" ref="U22:U28" si="15">AVERAGE(Q22:T22)</f>
        <v>3.4000000000000002E-2</v>
      </c>
    </row>
    <row r="23" spans="1:21" x14ac:dyDescent="0.25">
      <c r="A23" s="175" t="s">
        <v>359</v>
      </c>
      <c r="B23" s="195"/>
      <c r="C23" s="195">
        <v>1</v>
      </c>
      <c r="E23" s="193" t="s">
        <v>359</v>
      </c>
      <c r="F23" s="194"/>
      <c r="G23" s="194">
        <v>0</v>
      </c>
      <c r="L23" s="196" t="s">
        <v>29</v>
      </c>
      <c r="M23" s="186">
        <f t="shared" si="11"/>
        <v>1</v>
      </c>
      <c r="N23" s="186">
        <f t="shared" si="12"/>
        <v>2</v>
      </c>
      <c r="O23" s="186">
        <f t="shared" si="13"/>
        <v>4</v>
      </c>
      <c r="P23" s="186" t="str">
        <f t="shared" si="14"/>
        <v>N/A</v>
      </c>
      <c r="Q23" s="221">
        <f>IF(M19=$M$1,$M$10,IF(M19=$N$1,$N$10,IF(M19=$O$1,$O$10,IF(M19=$P$1,$P$10,IF(M19=$Q$1,$Q$10,IF(M19=$R$1,$R$10,IF(M19=$S$1,$S$10,"N/A")))))))</f>
        <v>7.2500000000000009E-2</v>
      </c>
      <c r="R23" s="221">
        <f>IF(N19=$M$1,$M$10,IF(N19=$N$1,$N$10,IF(N19=$O$1,$O$10,IF(N19=$P$1,$P$10,IF(N19=$Q$1,$Q$10,IF(N19=$R$1,$R$10,IF(N19=$S$1,$S$10,"N/A")))))))</f>
        <v>6.7000000000000004E-2</v>
      </c>
      <c r="S23" s="221">
        <f>IF(O19=$M$1,$M$10,IF(O19=$N$1,$N$10,IF(O19=$O$1,$O$10,IF(O19=$P$1,$P$10,IF(O19=$Q$1,$Q$10,IF(O19=$R$1,$R$10,IF(O19=$S$1,$S$10,"N/A")))))))</f>
        <v>7.1000000000000008E-2</v>
      </c>
      <c r="T23" s="221" t="str">
        <f>IF(P19=$M$1,$M$10,IF(P19=$N$1,$N$10,IF(P19=$O$1,$O$10,IF(P19=$P$1,$P$10,IF(P19=$Q$1,$Q$10,IF(P19=$R$1,$R$10,IF(P19=$S$1,$S$10,"N/A")))))))</f>
        <v>N/A</v>
      </c>
      <c r="U23" s="222">
        <f t="shared" si="15"/>
        <v>7.0166666666666669E-2</v>
      </c>
    </row>
    <row r="24" spans="1:21" ht="23.25" x14ac:dyDescent="0.25">
      <c r="A24" s="175" t="s">
        <v>361</v>
      </c>
      <c r="B24" s="195"/>
      <c r="C24" s="200" t="s">
        <v>369</v>
      </c>
      <c r="E24" s="193" t="s">
        <v>361</v>
      </c>
      <c r="F24" s="194"/>
      <c r="G24" s="198" t="s">
        <v>371</v>
      </c>
      <c r="I24" s="196" t="s">
        <v>377</v>
      </c>
      <c r="J24" s="197">
        <f>AVERAGE(C25,G25)</f>
        <v>8833.5</v>
      </c>
      <c r="L24" s="196" t="s">
        <v>71</v>
      </c>
      <c r="M24" s="186">
        <f t="shared" si="11"/>
        <v>1</v>
      </c>
      <c r="N24" s="186">
        <f t="shared" si="12"/>
        <v>2</v>
      </c>
      <c r="O24" s="186">
        <f t="shared" si="13"/>
        <v>4</v>
      </c>
      <c r="P24" s="186" t="str">
        <f t="shared" si="14"/>
        <v>N/A</v>
      </c>
      <c r="Q24" s="221">
        <f>IF(M19=$M$1,$M$11,IF(M19=$N$1,$N$11,IF(M19=$O$1,$O$11,IF(M19=$P$1,$P$11,IF(M19=$Q$1,$Q$11,IF(M19=$R$1,$R$11,IF(M19=$S$1,$S$11,"N/A")))))))</f>
        <v>1.8500000000000003E-2</v>
      </c>
      <c r="R24" s="221">
        <f>IF(N19=$M$1,$M$11,IF(N19=$N$1,$N$11,IF(N19=$O$1,$O$11,IF(N19=$P$1,$P$11,IF(N19=$Q$1,$Q$11,IF(N19=$R$1,$R$11,IF(N19=$S$1,$S$11,"N/A")))))))</f>
        <v>0.02</v>
      </c>
      <c r="S24" s="221">
        <f>IF(O19=$M$1,$M$11,IF(O19=$N$1,$N$11,IF(O19=$O$1,$O$11,IF(O19=$P$1,$P$11,IF(O19=$Q$1,$Q$11,IF(O19=$R$1,$R$11,IF(O19=$S$1,$S$11,"N/A")))))))</f>
        <v>2.4E-2</v>
      </c>
      <c r="T24" s="221" t="str">
        <f>IF(P19=$M$1,$M$11,IF(P19=$N$1,$N$11,IF(P19=$O$1,$O$11,IF(P19=$P$1,$P$11,IF(P19=$Q$1,$Q$11,IF(P19=$R$1,$R$11,IF(P19=$S$1,$S$11,"N/A")))))))</f>
        <v>N/A</v>
      </c>
      <c r="U24" s="222">
        <f t="shared" si="15"/>
        <v>2.0833333333333332E-2</v>
      </c>
    </row>
    <row r="25" spans="1:21" x14ac:dyDescent="0.25">
      <c r="A25" s="175" t="s">
        <v>2</v>
      </c>
      <c r="B25" s="195"/>
      <c r="C25" s="195">
        <v>12946</v>
      </c>
      <c r="E25" s="193" t="s">
        <v>2</v>
      </c>
      <c r="F25" s="194"/>
      <c r="G25" s="194">
        <f>9442/2</f>
        <v>4721</v>
      </c>
      <c r="I25" s="196" t="s">
        <v>376</v>
      </c>
      <c r="J25" s="197">
        <f>MIN(C25,G25)</f>
        <v>4721</v>
      </c>
      <c r="L25" s="196" t="s">
        <v>72</v>
      </c>
      <c r="M25" s="186">
        <f t="shared" si="11"/>
        <v>1</v>
      </c>
      <c r="N25" s="186">
        <f t="shared" si="12"/>
        <v>2</v>
      </c>
      <c r="O25" s="186">
        <f t="shared" si="13"/>
        <v>4</v>
      </c>
      <c r="P25" s="186" t="str">
        <f t="shared" si="14"/>
        <v>N/A</v>
      </c>
      <c r="Q25" s="221">
        <f>IF(M19=$M$1,$M$12,IF(M19=$N$1,$N$12,IF(M19=$O$1,$O$12,IF(M19=$P$1,$P$12,IF(M19=$Q$1,$Q$12,IF(M19=$R$1,$R$12,IF(M19=$S$1,$S$12,"N/A")))))))</f>
        <v>4.2999999999999997E-2</v>
      </c>
      <c r="R25" s="221">
        <f>IF(N19=$M$1,$M$12,IF(N19=$N$1,$N$12,IF(N19=$O$1,$O$12,IF(N19=$P$1,$P$12,IF(N19=$Q$1,$Q$12,IF(N19=$R$1,$R$12,IF(N19=$S$1,$S$12,"N/A")))))))</f>
        <v>3.5000000000000003E-2</v>
      </c>
      <c r="S25" s="221">
        <f>IF(O19=$M$1,$M$12,IF(O19=$N$1,$N$12,IF(O19=$O$1,$O$12,IF(O19=$P$1,$P$12,IF(O19=$Q$1,$Q$12,IF(O19=$R$1,$R$12,IF(O19=$S$1,$S$12,"N/A")))))))</f>
        <v>6.7000000000000004E-2</v>
      </c>
      <c r="T25" s="221" t="str">
        <f>IF(P19=$M$1,$M$12,IF(P19=$N$1,$N$12,IF(P19=$O$1,$O$12,IF(P19=$P$1,$P$12,IF(P19=$Q$1,$Q$12,IF(P19=$R$1,$R$12,IF(P19=$S$1,$S$12,"N/A")))))))</f>
        <v>N/A</v>
      </c>
      <c r="U25" s="222">
        <f t="shared" si="15"/>
        <v>4.8333333333333339E-2</v>
      </c>
    </row>
    <row r="26" spans="1:21" x14ac:dyDescent="0.25">
      <c r="A26" s="175" t="s">
        <v>69</v>
      </c>
      <c r="B26" s="175">
        <v>82.2</v>
      </c>
      <c r="C26" s="206">
        <f t="shared" ref="C26:C32" si="16">B26/100</f>
        <v>0.82200000000000006</v>
      </c>
      <c r="E26" s="193" t="s">
        <v>69</v>
      </c>
      <c r="F26" s="193">
        <v>82.5</v>
      </c>
      <c r="G26" s="205">
        <f t="shared" ref="G26:G32" si="17">F26/100</f>
        <v>0.82499999999999996</v>
      </c>
      <c r="I26" s="196" t="s">
        <v>69</v>
      </c>
      <c r="J26" s="207">
        <f t="shared" ref="J26:J32" si="18">AVERAGE(C26,G26)</f>
        <v>0.82350000000000001</v>
      </c>
      <c r="L26" s="196" t="s">
        <v>73</v>
      </c>
      <c r="M26" s="186">
        <f t="shared" si="11"/>
        <v>1</v>
      </c>
      <c r="N26" s="186">
        <f t="shared" si="12"/>
        <v>2</v>
      </c>
      <c r="O26" s="186">
        <f t="shared" si="13"/>
        <v>4</v>
      </c>
      <c r="P26" s="186" t="str">
        <f t="shared" si="14"/>
        <v>N/A</v>
      </c>
      <c r="Q26" s="221">
        <f>IF(M19=$M$1,$M$13,IF(M19=$N$1,$N$13,IF(M19=$O$1,$O$13,IF(M19=$P$1,$P$13,IF(M19=$Q$1,$Q$13,IF(M19=$R$1,$R$13,IF(M19=$S$1,$S$13,"N/A")))))))</f>
        <v>1.55E-2</v>
      </c>
      <c r="R26" s="221">
        <f>IF(N19=$M$1,$M$13,IF(N19=$N$1,$N$13,IF(N19=$O$1,$O$13,IF(N19=$P$1,$P$13,IF(N19=$Q$1,$Q$13,IF(N19=$R$1,$R$13,IF(N19=$S$1,$S$13,"N/A")))))))</f>
        <v>1.2999999999999999E-2</v>
      </c>
      <c r="S26" s="221">
        <f>IF(O19=$M$1,$M$13,IF(O19=$N$1,$N$13,IF(O19=$O$1,$O$13,IF(O19=$P$1,$P$13,IF(O19=$Q$1,$Q$13,IF(O19=$R$1,$R$13,IF(O19=$S$1,$S$13,"N/A")))))))</f>
        <v>1.8000000000000002E-2</v>
      </c>
      <c r="T26" s="221" t="str">
        <f>IF(P19=$M$1,$M$13,IF(P19=$N$1,$N$13,IF(P19=$O$1,$O$13,IF(P19=$P$1,$P$13,IF(P19=$Q$1,$Q$13,IF(P19=$R$1,$R$13,IF(P19=$S$1,$S$13,"N/A")))))))</f>
        <v>N/A</v>
      </c>
      <c r="U26" s="222">
        <f t="shared" si="15"/>
        <v>1.55E-2</v>
      </c>
    </row>
    <row r="27" spans="1:21" x14ac:dyDescent="0.25">
      <c r="A27" s="175" t="s">
        <v>70</v>
      </c>
      <c r="B27" s="175">
        <v>2.7</v>
      </c>
      <c r="C27" s="206">
        <f t="shared" si="16"/>
        <v>2.7000000000000003E-2</v>
      </c>
      <c r="E27" s="193" t="s">
        <v>70</v>
      </c>
      <c r="F27" s="193">
        <v>2.4</v>
      </c>
      <c r="G27" s="205">
        <f t="shared" si="17"/>
        <v>2.4E-2</v>
      </c>
      <c r="I27" s="196" t="s">
        <v>70</v>
      </c>
      <c r="J27" s="207">
        <f t="shared" si="18"/>
        <v>2.5500000000000002E-2</v>
      </c>
      <c r="L27" s="196" t="s">
        <v>74</v>
      </c>
      <c r="M27" s="186">
        <f t="shared" si="11"/>
        <v>1</v>
      </c>
      <c r="N27" s="186">
        <f t="shared" si="12"/>
        <v>2</v>
      </c>
      <c r="O27" s="186">
        <f t="shared" si="13"/>
        <v>4</v>
      </c>
      <c r="P27" s="186" t="str">
        <f t="shared" si="14"/>
        <v>N/A</v>
      </c>
      <c r="Q27" s="221">
        <f>IF(M19=$M$1,$M$14,IF(M19=$N$1,$N$14,IF(M19=$O$1,$O$14,IF(M19=$P$1,$P$14,IF(M19=$Q$1,$Q$14,IF(M19=$R$1,$R$14,IF(M19=$S$1,$S$14,"N/A")))))))</f>
        <v>1.0999999999999999E-2</v>
      </c>
      <c r="R27" s="221">
        <f>IF(N19=$M$1,$M$14,IF(N19=$N$1,$N$14,IF(N19=$O$1,$O$14,IF(N19=$P$1,$P$14,IF(N19=$Q$1,$Q$14,IF(N19=$R$1,$R$14,IF(N19=$S$1,$S$14,"N/A")))))))</f>
        <v>1.2500000000000001E-2</v>
      </c>
      <c r="S27" s="221">
        <f>IF(O19=$M$1,$M$14,IF(O19=$N$1,$N$14,IF(O19=$O$1,$O$14,IF(O19=$P$1,$P$14,IF(O19=$Q$1,$Q$14,IF(O19=$R$1,$R$14,IF(O19=$S$1,$S$14,"N/A")))))))</f>
        <v>7.0000000000000001E-3</v>
      </c>
      <c r="T27" s="221" t="str">
        <f>IF(P19=$M$1,$M$14,IF(P19=$N$1,$N$14,IF(P19=$O$1,$O$14,IF(P19=$P$1,$P$14,IF(P19=$Q$1,$Q$14,IF(P19=$R$1,$R$14,IF(P19=$S$1,$S$14,"N/A")))))))</f>
        <v>N/A</v>
      </c>
      <c r="U27" s="222">
        <f t="shared" si="15"/>
        <v>1.0166666666666666E-2</v>
      </c>
    </row>
    <row r="28" spans="1:21" x14ac:dyDescent="0.25">
      <c r="A28" s="175" t="s">
        <v>29</v>
      </c>
      <c r="B28" s="175">
        <v>5.9</v>
      </c>
      <c r="C28" s="206">
        <f t="shared" si="16"/>
        <v>5.9000000000000004E-2</v>
      </c>
      <c r="E28" s="193" t="s">
        <v>29</v>
      </c>
      <c r="F28" s="193">
        <v>7.5</v>
      </c>
      <c r="G28" s="205">
        <f t="shared" si="17"/>
        <v>7.4999999999999997E-2</v>
      </c>
      <c r="I28" s="196" t="s">
        <v>29</v>
      </c>
      <c r="J28" s="207">
        <f t="shared" si="18"/>
        <v>6.7000000000000004E-2</v>
      </c>
      <c r="L28" s="196" t="s">
        <v>75</v>
      </c>
      <c r="M28" s="186">
        <f t="shared" si="11"/>
        <v>1</v>
      </c>
      <c r="N28" s="186">
        <f t="shared" si="12"/>
        <v>2</v>
      </c>
      <c r="O28" s="186">
        <f t="shared" si="13"/>
        <v>4</v>
      </c>
      <c r="P28" s="186" t="str">
        <f t="shared" si="14"/>
        <v>N/A</v>
      </c>
      <c r="Q28" s="221">
        <f>IF(M19=$M$1,$M$15,IF(M19=$N$1,$N$15,IF(M19=$O$1,$O$15,IF(M19=$P$1,$P$15,IF(M19=$Q$1,$Q$15,IF(M19=$R$1,$R$15,IF(M19=$S$1,$S$15,"N/A")))))))</f>
        <v>2.0000000000000018E-3</v>
      </c>
      <c r="R28" s="221">
        <f>IF(N19=$M$1,$M$15,IF(N19=$N$1,$N$15,IF(N19=$O$1,$O$15,IF(N19=$P$1,$P$15,IF(N19=$Q$1,$Q$15,IF(N19=$R$1,$R$15,IF(N19=$S$1,$S$15,"N/A")))))))</f>
        <v>3.5000000000000586E-3</v>
      </c>
      <c r="S28" s="221">
        <f>IF(O19=$M$1,$M$15,IF(O19=$N$1,$N$15,IF(O19=$O$1,$O$15,IF(O19=$P$1,$P$15,IF(O19=$Q$1,$Q$15,IF(O19=$R$1,$R$15,IF(O19=$S$1,$S$15,"N/A")))))))</f>
        <v>3.5000000000001696E-3</v>
      </c>
      <c r="T28" s="221" t="str">
        <f>IF(P19=$M$1,$M$15,IF(P19=$N$1,$N$15,IF(P19=$O$1,$O$15,IF(P19=$P$1,$P$15,IF(P19=$Q$1,$Q$15,IF(P19=$R$1,$R$15,IF(P19=$S$1,$S$15,"N/A")))))))</f>
        <v>N/A</v>
      </c>
      <c r="U28" s="222">
        <f t="shared" si="15"/>
        <v>3.0000000000000768E-3</v>
      </c>
    </row>
    <row r="29" spans="1:21" x14ac:dyDescent="0.25">
      <c r="A29" s="175" t="s">
        <v>71</v>
      </c>
      <c r="B29" s="175">
        <v>1.9</v>
      </c>
      <c r="C29" s="206">
        <f t="shared" si="16"/>
        <v>1.9E-2</v>
      </c>
      <c r="E29" s="193" t="s">
        <v>71</v>
      </c>
      <c r="F29" s="193">
        <v>2.1</v>
      </c>
      <c r="G29" s="205">
        <f t="shared" si="17"/>
        <v>2.1000000000000001E-2</v>
      </c>
      <c r="I29" s="196" t="s">
        <v>71</v>
      </c>
      <c r="J29" s="207">
        <f t="shared" si="18"/>
        <v>0.02</v>
      </c>
    </row>
    <row r="30" spans="1:21" x14ac:dyDescent="0.25">
      <c r="A30" s="175" t="s">
        <v>72</v>
      </c>
      <c r="B30" s="175">
        <v>3.9</v>
      </c>
      <c r="C30" s="206">
        <f t="shared" si="16"/>
        <v>3.9E-2</v>
      </c>
      <c r="E30" s="193" t="s">
        <v>72</v>
      </c>
      <c r="F30" s="193">
        <v>3.1</v>
      </c>
      <c r="G30" s="205">
        <f t="shared" si="17"/>
        <v>3.1E-2</v>
      </c>
      <c r="I30" s="196" t="s">
        <v>72</v>
      </c>
      <c r="J30" s="207">
        <f t="shared" si="18"/>
        <v>3.5000000000000003E-2</v>
      </c>
    </row>
    <row r="31" spans="1:21" x14ac:dyDescent="0.25">
      <c r="A31" s="175" t="s">
        <v>73</v>
      </c>
      <c r="B31" s="175">
        <v>1.2</v>
      </c>
      <c r="C31" s="206">
        <f t="shared" si="16"/>
        <v>1.2E-2</v>
      </c>
      <c r="E31" s="193" t="s">
        <v>73</v>
      </c>
      <c r="F31" s="193">
        <v>1.4</v>
      </c>
      <c r="G31" s="205">
        <f t="shared" si="17"/>
        <v>1.3999999999999999E-2</v>
      </c>
      <c r="I31" s="196" t="s">
        <v>73</v>
      </c>
      <c r="J31" s="207">
        <f t="shared" si="18"/>
        <v>1.2999999999999999E-2</v>
      </c>
      <c r="L31" s="185"/>
    </row>
    <row r="32" spans="1:21" x14ac:dyDescent="0.25">
      <c r="A32" s="175" t="s">
        <v>74</v>
      </c>
      <c r="B32" s="175">
        <v>1.9</v>
      </c>
      <c r="C32" s="206">
        <f t="shared" si="16"/>
        <v>1.9E-2</v>
      </c>
      <c r="E32" s="193" t="s">
        <v>74</v>
      </c>
      <c r="F32" s="193">
        <v>0.6</v>
      </c>
      <c r="G32" s="205">
        <f t="shared" si="17"/>
        <v>6.0000000000000001E-3</v>
      </c>
      <c r="I32" s="196" t="s">
        <v>74</v>
      </c>
      <c r="J32" s="207">
        <f t="shared" si="18"/>
        <v>1.2500000000000001E-2</v>
      </c>
      <c r="L32" s="185"/>
    </row>
    <row r="33" spans="1:10" x14ac:dyDescent="0.25">
      <c r="A33" s="175" t="s">
        <v>75</v>
      </c>
      <c r="B33" s="175"/>
      <c r="C33" s="206">
        <f>1-SUM(C26:C32)</f>
        <v>2.9999999999997806E-3</v>
      </c>
      <c r="E33" s="193" t="s">
        <v>75</v>
      </c>
      <c r="F33" s="193"/>
      <c r="G33" s="205">
        <f>1-SUM(G26:G32)</f>
        <v>4.0000000000000036E-3</v>
      </c>
      <c r="I33" s="196" t="s">
        <v>75</v>
      </c>
      <c r="J33" s="207">
        <f>1-SUM(J26:J32)</f>
        <v>3.5000000000000586E-3</v>
      </c>
    </row>
    <row r="35" spans="1:10" x14ac:dyDescent="0.25">
      <c r="A35" s="203" t="s">
        <v>364</v>
      </c>
      <c r="B35" s="203">
        <f>B18+1</f>
        <v>3</v>
      </c>
      <c r="C35" s="203">
        <f>C18+1</f>
        <v>3</v>
      </c>
    </row>
    <row r="37" spans="1:10" ht="34.5" x14ac:dyDescent="0.25">
      <c r="A37" s="193" t="s">
        <v>356</v>
      </c>
      <c r="B37" s="194"/>
      <c r="C37" s="198" t="s">
        <v>374</v>
      </c>
      <c r="E37" s="175" t="s">
        <v>356</v>
      </c>
      <c r="F37" s="195"/>
      <c r="G37" s="200" t="s">
        <v>374</v>
      </c>
    </row>
    <row r="38" spans="1:10" ht="23.25" x14ac:dyDescent="0.25">
      <c r="A38" s="193" t="s">
        <v>357</v>
      </c>
      <c r="B38" s="194"/>
      <c r="C38" s="198" t="s">
        <v>373</v>
      </c>
      <c r="E38" s="175" t="s">
        <v>357</v>
      </c>
      <c r="F38" s="195"/>
      <c r="G38" s="200" t="s">
        <v>373</v>
      </c>
    </row>
    <row r="39" spans="1:10" x14ac:dyDescent="0.25">
      <c r="A39" s="193" t="s">
        <v>358</v>
      </c>
      <c r="B39" s="194"/>
      <c r="C39" s="194">
        <v>1</v>
      </c>
      <c r="E39" s="175" t="s">
        <v>358</v>
      </c>
      <c r="F39" s="195"/>
      <c r="G39" s="195">
        <v>3</v>
      </c>
    </row>
    <row r="40" spans="1:10" x14ac:dyDescent="0.25">
      <c r="A40" s="193" t="s">
        <v>359</v>
      </c>
      <c r="B40" s="194"/>
      <c r="C40" s="194">
        <v>1</v>
      </c>
      <c r="E40" s="175" t="s">
        <v>359</v>
      </c>
      <c r="F40" s="195"/>
      <c r="G40" s="195">
        <v>1</v>
      </c>
    </row>
    <row r="41" spans="1:10" ht="23.25" x14ac:dyDescent="0.25">
      <c r="A41" s="193" t="s">
        <v>361</v>
      </c>
      <c r="B41" s="194"/>
      <c r="C41" s="208" t="s">
        <v>372</v>
      </c>
      <c r="E41" s="175" t="s">
        <v>361</v>
      </c>
      <c r="F41" s="195"/>
      <c r="G41" s="200" t="s">
        <v>375</v>
      </c>
      <c r="I41" s="196" t="s">
        <v>377</v>
      </c>
      <c r="J41" s="197">
        <f>AVERAGE(C42,G42)</f>
        <v>2635.5</v>
      </c>
    </row>
    <row r="42" spans="1:10" x14ac:dyDescent="0.25">
      <c r="A42" s="193" t="s">
        <v>2</v>
      </c>
      <c r="B42" s="194"/>
      <c r="C42" s="194">
        <v>2681</v>
      </c>
      <c r="E42" s="175" t="s">
        <v>2</v>
      </c>
      <c r="F42" s="195"/>
      <c r="G42" s="195">
        <v>2590</v>
      </c>
      <c r="I42" s="196" t="s">
        <v>376</v>
      </c>
      <c r="J42" s="197">
        <f>ABS(C42-G42)</f>
        <v>91</v>
      </c>
    </row>
    <row r="43" spans="1:10" x14ac:dyDescent="0.25">
      <c r="A43" s="193" t="s">
        <v>69</v>
      </c>
      <c r="B43" s="193">
        <v>65.099999999999994</v>
      </c>
      <c r="C43" s="205">
        <f t="shared" ref="C43:C49" si="19">B43/100</f>
        <v>0.65099999999999991</v>
      </c>
      <c r="E43" s="175" t="s">
        <v>69</v>
      </c>
      <c r="F43" s="175">
        <v>61.9</v>
      </c>
      <c r="G43" s="206">
        <f t="shared" ref="G43:G49" si="20">F43/100</f>
        <v>0.61899999999999999</v>
      </c>
      <c r="I43" s="196" t="s">
        <v>69</v>
      </c>
      <c r="J43" s="207">
        <f t="shared" ref="J43:J49" si="21">AVERAGE(C43,G43)</f>
        <v>0.63500000000000001</v>
      </c>
    </row>
    <row r="44" spans="1:10" x14ac:dyDescent="0.25">
      <c r="A44" s="193" t="s">
        <v>70</v>
      </c>
      <c r="B44" s="193">
        <v>2.5</v>
      </c>
      <c r="C44" s="205">
        <f t="shared" si="19"/>
        <v>2.5000000000000001E-2</v>
      </c>
      <c r="E44" s="175" t="s">
        <v>70</v>
      </c>
      <c r="F44" s="175">
        <v>3.8</v>
      </c>
      <c r="G44" s="206">
        <f t="shared" si="20"/>
        <v>3.7999999999999999E-2</v>
      </c>
      <c r="I44" s="196" t="s">
        <v>70</v>
      </c>
      <c r="J44" s="207">
        <f t="shared" si="21"/>
        <v>3.15E-2</v>
      </c>
    </row>
    <row r="45" spans="1:10" x14ac:dyDescent="0.25">
      <c r="A45" s="193" t="s">
        <v>29</v>
      </c>
      <c r="B45" s="193">
        <v>7.2</v>
      </c>
      <c r="C45" s="205">
        <f t="shared" si="19"/>
        <v>7.2000000000000008E-2</v>
      </c>
      <c r="E45" s="175" t="s">
        <v>29</v>
      </c>
      <c r="F45" s="175">
        <v>7.9</v>
      </c>
      <c r="G45" s="206">
        <f t="shared" si="20"/>
        <v>7.9000000000000001E-2</v>
      </c>
      <c r="I45" s="196" t="s">
        <v>29</v>
      </c>
      <c r="J45" s="207">
        <f t="shared" si="21"/>
        <v>7.5500000000000012E-2</v>
      </c>
    </row>
    <row r="46" spans="1:10" x14ac:dyDescent="0.25">
      <c r="A46" s="193" t="s">
        <v>71</v>
      </c>
      <c r="B46" s="193">
        <v>2.4</v>
      </c>
      <c r="C46" s="205">
        <f t="shared" si="19"/>
        <v>2.4E-2</v>
      </c>
      <c r="E46" s="175" t="s">
        <v>71</v>
      </c>
      <c r="F46" s="175">
        <v>3.6</v>
      </c>
      <c r="G46" s="206">
        <f t="shared" si="20"/>
        <v>3.6000000000000004E-2</v>
      </c>
      <c r="I46" s="196" t="s">
        <v>71</v>
      </c>
      <c r="J46" s="207">
        <f t="shared" si="21"/>
        <v>3.0000000000000002E-2</v>
      </c>
    </row>
    <row r="47" spans="1:10" x14ac:dyDescent="0.25">
      <c r="A47" s="193" t="s">
        <v>72</v>
      </c>
      <c r="B47" s="193">
        <v>16.5</v>
      </c>
      <c r="C47" s="205">
        <f t="shared" si="19"/>
        <v>0.16500000000000001</v>
      </c>
      <c r="E47" s="175" t="s">
        <v>72</v>
      </c>
      <c r="F47" s="175">
        <v>16.7</v>
      </c>
      <c r="G47" s="206">
        <f t="shared" si="20"/>
        <v>0.16699999999999998</v>
      </c>
      <c r="I47" s="196" t="s">
        <v>72</v>
      </c>
      <c r="J47" s="207">
        <f t="shared" si="21"/>
        <v>0.16599999999999998</v>
      </c>
    </row>
    <row r="48" spans="1:10" x14ac:dyDescent="0.25">
      <c r="A48" s="193" t="s">
        <v>73</v>
      </c>
      <c r="B48" s="193">
        <v>4.2</v>
      </c>
      <c r="C48" s="205">
        <f t="shared" si="19"/>
        <v>4.2000000000000003E-2</v>
      </c>
      <c r="E48" s="175" t="s">
        <v>73</v>
      </c>
      <c r="F48" s="175">
        <v>3.5</v>
      </c>
      <c r="G48" s="206">
        <f t="shared" si="20"/>
        <v>3.5000000000000003E-2</v>
      </c>
      <c r="I48" s="196" t="s">
        <v>73</v>
      </c>
      <c r="J48" s="207">
        <f t="shared" si="21"/>
        <v>3.8500000000000006E-2</v>
      </c>
    </row>
    <row r="49" spans="1:10" x14ac:dyDescent="0.25">
      <c r="A49" s="193" t="s">
        <v>74</v>
      </c>
      <c r="B49" s="193">
        <v>1.4</v>
      </c>
      <c r="C49" s="205">
        <f t="shared" si="19"/>
        <v>1.3999999999999999E-2</v>
      </c>
      <c r="E49" s="175" t="s">
        <v>74</v>
      </c>
      <c r="F49" s="175">
        <v>1.6</v>
      </c>
      <c r="G49" s="206">
        <f t="shared" si="20"/>
        <v>1.6E-2</v>
      </c>
      <c r="I49" s="196" t="s">
        <v>74</v>
      </c>
      <c r="J49" s="207">
        <f t="shared" si="21"/>
        <v>1.4999999999999999E-2</v>
      </c>
    </row>
    <row r="50" spans="1:10" x14ac:dyDescent="0.25">
      <c r="A50" s="193" t="s">
        <v>75</v>
      </c>
      <c r="B50" s="193"/>
      <c r="C50" s="205">
        <f>1-SUM(C43:C49)</f>
        <v>6.9999999999998952E-3</v>
      </c>
      <c r="E50" s="175" t="s">
        <v>75</v>
      </c>
      <c r="F50" s="175"/>
      <c r="G50" s="206">
        <f>1-SUM(G43:G49)</f>
        <v>9.9999999999998979E-3</v>
      </c>
      <c r="I50" s="196" t="s">
        <v>75</v>
      </c>
      <c r="J50" s="207">
        <f>1-SUM(J43:J49)</f>
        <v>8.5000000000000631E-3</v>
      </c>
    </row>
    <row r="52" spans="1:10" x14ac:dyDescent="0.25">
      <c r="A52" s="203" t="s">
        <v>364</v>
      </c>
      <c r="B52" s="203">
        <f>B35+1</f>
        <v>4</v>
      </c>
      <c r="C52" s="203">
        <f>C35+1</f>
        <v>4</v>
      </c>
    </row>
    <row r="54" spans="1:10" ht="23.25" x14ac:dyDescent="0.25">
      <c r="A54" s="201" t="s">
        <v>356</v>
      </c>
      <c r="B54" s="202"/>
      <c r="C54" s="202" t="s">
        <v>354</v>
      </c>
      <c r="E54" s="193" t="s">
        <v>356</v>
      </c>
      <c r="F54" s="194"/>
      <c r="G54" s="194" t="s">
        <v>354</v>
      </c>
    </row>
    <row r="55" spans="1:10" ht="23.25" x14ac:dyDescent="0.25">
      <c r="A55" s="201" t="s">
        <v>357</v>
      </c>
      <c r="B55" s="202"/>
      <c r="C55" s="202" t="s">
        <v>370</v>
      </c>
      <c r="E55" s="193" t="s">
        <v>357</v>
      </c>
      <c r="F55" s="194"/>
      <c r="G55" s="198" t="s">
        <v>378</v>
      </c>
    </row>
    <row r="56" spans="1:10" x14ac:dyDescent="0.25">
      <c r="A56" s="201" t="s">
        <v>358</v>
      </c>
      <c r="B56" s="202"/>
      <c r="C56" s="202">
        <v>3</v>
      </c>
      <c r="E56" s="193" t="s">
        <v>358</v>
      </c>
      <c r="F56" s="194"/>
      <c r="G56" s="194">
        <v>1</v>
      </c>
    </row>
    <row r="57" spans="1:10" x14ac:dyDescent="0.25">
      <c r="A57" s="201" t="s">
        <v>359</v>
      </c>
      <c r="B57" s="202"/>
      <c r="C57" s="202">
        <v>0</v>
      </c>
      <c r="E57" s="193" t="s">
        <v>359</v>
      </c>
      <c r="F57" s="194"/>
      <c r="G57" s="194">
        <v>1</v>
      </c>
    </row>
    <row r="58" spans="1:10" ht="23.25" x14ac:dyDescent="0.25">
      <c r="A58" s="201" t="s">
        <v>361</v>
      </c>
      <c r="B58" s="202"/>
      <c r="C58" s="210" t="s">
        <v>371</v>
      </c>
      <c r="E58" s="193" t="s">
        <v>361</v>
      </c>
      <c r="F58" s="194"/>
      <c r="G58" s="198" t="s">
        <v>379</v>
      </c>
      <c r="I58" s="196" t="s">
        <v>377</v>
      </c>
      <c r="J58" s="197">
        <f>AVERAGE(C59,G59)</f>
        <v>5458.5</v>
      </c>
    </row>
    <row r="59" spans="1:10" x14ac:dyDescent="0.25">
      <c r="A59" s="201" t="s">
        <v>2</v>
      </c>
      <c r="B59" s="202"/>
      <c r="C59" s="202">
        <f>9442/2</f>
        <v>4721</v>
      </c>
      <c r="E59" s="193" t="s">
        <v>2</v>
      </c>
      <c r="F59" s="194"/>
      <c r="G59" s="194">
        <v>6196</v>
      </c>
      <c r="I59" s="196" t="s">
        <v>376</v>
      </c>
      <c r="J59" s="197">
        <f>MIN(C59,G59)</f>
        <v>4721</v>
      </c>
    </row>
    <row r="60" spans="1:10" x14ac:dyDescent="0.25">
      <c r="A60" s="201" t="s">
        <v>69</v>
      </c>
      <c r="B60" s="201">
        <v>82.5</v>
      </c>
      <c r="C60" s="209">
        <f t="shared" ref="C60:C66" si="22">B60/100</f>
        <v>0.82499999999999996</v>
      </c>
      <c r="E60" s="193" t="s">
        <v>69</v>
      </c>
      <c r="F60" s="193">
        <v>72.099999999999994</v>
      </c>
      <c r="G60" s="205">
        <f t="shared" ref="G60:G66" si="23">F60/100</f>
        <v>0.72099999999999997</v>
      </c>
      <c r="I60" s="196" t="s">
        <v>69</v>
      </c>
      <c r="J60" s="207">
        <f t="shared" ref="J60:J66" si="24">AVERAGE(C60,G60)</f>
        <v>0.77299999999999991</v>
      </c>
    </row>
    <row r="61" spans="1:10" x14ac:dyDescent="0.25">
      <c r="A61" s="201" t="s">
        <v>70</v>
      </c>
      <c r="B61" s="201">
        <v>2.4</v>
      </c>
      <c r="C61" s="209">
        <f t="shared" si="22"/>
        <v>2.4E-2</v>
      </c>
      <c r="E61" s="193" t="s">
        <v>70</v>
      </c>
      <c r="F61" s="193">
        <v>4.9000000000000004</v>
      </c>
      <c r="G61" s="205">
        <f t="shared" si="23"/>
        <v>4.9000000000000002E-2</v>
      </c>
      <c r="I61" s="196" t="s">
        <v>70</v>
      </c>
      <c r="J61" s="207">
        <f t="shared" si="24"/>
        <v>3.6500000000000005E-2</v>
      </c>
    </row>
    <row r="62" spans="1:10" x14ac:dyDescent="0.25">
      <c r="A62" s="201" t="s">
        <v>29</v>
      </c>
      <c r="B62" s="201">
        <v>7.5</v>
      </c>
      <c r="C62" s="209">
        <f t="shared" si="22"/>
        <v>7.4999999999999997E-2</v>
      </c>
      <c r="E62" s="193" t="s">
        <v>29</v>
      </c>
      <c r="F62" s="193">
        <v>6.7</v>
      </c>
      <c r="G62" s="205">
        <f t="shared" si="23"/>
        <v>6.7000000000000004E-2</v>
      </c>
      <c r="I62" s="196" t="s">
        <v>29</v>
      </c>
      <c r="J62" s="207">
        <f t="shared" si="24"/>
        <v>7.1000000000000008E-2</v>
      </c>
    </row>
    <row r="63" spans="1:10" x14ac:dyDescent="0.25">
      <c r="A63" s="201" t="s">
        <v>71</v>
      </c>
      <c r="B63" s="201">
        <v>2.1</v>
      </c>
      <c r="C63" s="209">
        <f t="shared" si="22"/>
        <v>2.1000000000000001E-2</v>
      </c>
      <c r="E63" s="193" t="s">
        <v>71</v>
      </c>
      <c r="F63" s="193">
        <v>2.7</v>
      </c>
      <c r="G63" s="205">
        <f t="shared" si="23"/>
        <v>2.7000000000000003E-2</v>
      </c>
      <c r="I63" s="196" t="s">
        <v>71</v>
      </c>
      <c r="J63" s="207">
        <f t="shared" si="24"/>
        <v>2.4E-2</v>
      </c>
    </row>
    <row r="64" spans="1:10" x14ac:dyDescent="0.25">
      <c r="A64" s="201" t="s">
        <v>72</v>
      </c>
      <c r="B64" s="201">
        <v>3.1</v>
      </c>
      <c r="C64" s="209">
        <f t="shared" si="22"/>
        <v>3.1E-2</v>
      </c>
      <c r="E64" s="193" t="s">
        <v>72</v>
      </c>
      <c r="F64" s="193">
        <v>10.3</v>
      </c>
      <c r="G64" s="205">
        <f t="shared" si="23"/>
        <v>0.10300000000000001</v>
      </c>
      <c r="I64" s="196" t="s">
        <v>72</v>
      </c>
      <c r="J64" s="207">
        <f t="shared" si="24"/>
        <v>6.7000000000000004E-2</v>
      </c>
    </row>
    <row r="65" spans="1:10" x14ac:dyDescent="0.25">
      <c r="A65" s="201" t="s">
        <v>73</v>
      </c>
      <c r="B65" s="201">
        <v>1.4</v>
      </c>
      <c r="C65" s="209">
        <f t="shared" si="22"/>
        <v>1.3999999999999999E-2</v>
      </c>
      <c r="E65" s="193" t="s">
        <v>73</v>
      </c>
      <c r="F65" s="193">
        <v>2.2000000000000002</v>
      </c>
      <c r="G65" s="205">
        <f t="shared" si="23"/>
        <v>2.2000000000000002E-2</v>
      </c>
      <c r="I65" s="196" t="s">
        <v>73</v>
      </c>
      <c r="J65" s="207">
        <f t="shared" si="24"/>
        <v>1.8000000000000002E-2</v>
      </c>
    </row>
    <row r="66" spans="1:10" x14ac:dyDescent="0.25">
      <c r="A66" s="201" t="s">
        <v>74</v>
      </c>
      <c r="B66" s="201">
        <v>0.6</v>
      </c>
      <c r="C66" s="209">
        <f t="shared" si="22"/>
        <v>6.0000000000000001E-3</v>
      </c>
      <c r="E66" s="193" t="s">
        <v>74</v>
      </c>
      <c r="F66" s="193">
        <v>0.8</v>
      </c>
      <c r="G66" s="205">
        <f t="shared" si="23"/>
        <v>8.0000000000000002E-3</v>
      </c>
      <c r="I66" s="196" t="s">
        <v>74</v>
      </c>
      <c r="J66" s="207">
        <f t="shared" si="24"/>
        <v>7.0000000000000001E-3</v>
      </c>
    </row>
    <row r="67" spans="1:10" x14ac:dyDescent="0.25">
      <c r="A67" s="201" t="s">
        <v>75</v>
      </c>
      <c r="B67" s="201"/>
      <c r="C67" s="209">
        <f>1-SUM(C60:C66)</f>
        <v>4.0000000000000036E-3</v>
      </c>
      <c r="E67" s="193" t="s">
        <v>75</v>
      </c>
      <c r="F67" s="193"/>
      <c r="G67" s="205">
        <f>1-SUM(G60:G66)</f>
        <v>3.0000000000000027E-3</v>
      </c>
      <c r="I67" s="196" t="s">
        <v>75</v>
      </c>
      <c r="J67" s="207">
        <f>1-SUM(J60:J66)</f>
        <v>3.5000000000001696E-3</v>
      </c>
    </row>
    <row r="69" spans="1:10" x14ac:dyDescent="0.25">
      <c r="A69" s="203" t="s">
        <v>364</v>
      </c>
      <c r="B69" s="203">
        <f>B52+1</f>
        <v>5</v>
      </c>
      <c r="C69" s="203">
        <f>C52+1</f>
        <v>5</v>
      </c>
    </row>
    <row r="71" spans="1:10" ht="23.25" x14ac:dyDescent="0.25">
      <c r="A71" s="175" t="s">
        <v>356</v>
      </c>
      <c r="B71" s="195"/>
      <c r="C71" s="195" t="s">
        <v>354</v>
      </c>
      <c r="E71" s="175" t="s">
        <v>356</v>
      </c>
      <c r="F71" s="195"/>
      <c r="G71" s="195" t="s">
        <v>354</v>
      </c>
    </row>
    <row r="72" spans="1:10" x14ac:dyDescent="0.25">
      <c r="A72" s="175" t="s">
        <v>357</v>
      </c>
      <c r="B72" s="195"/>
      <c r="C72" s="195" t="s">
        <v>355</v>
      </c>
      <c r="E72" s="175" t="s">
        <v>357</v>
      </c>
      <c r="F72" s="195"/>
      <c r="G72" s="195" t="s">
        <v>362</v>
      </c>
    </row>
    <row r="73" spans="1:10" x14ac:dyDescent="0.25">
      <c r="A73" s="175" t="s">
        <v>358</v>
      </c>
      <c r="B73" s="195"/>
      <c r="C73" s="195">
        <v>3</v>
      </c>
      <c r="E73" s="175" t="s">
        <v>358</v>
      </c>
      <c r="F73" s="195"/>
      <c r="G73" s="195">
        <v>1</v>
      </c>
    </row>
    <row r="74" spans="1:10" x14ac:dyDescent="0.25">
      <c r="A74" s="175" t="s">
        <v>359</v>
      </c>
      <c r="B74" s="195"/>
      <c r="C74" s="195">
        <v>1</v>
      </c>
      <c r="E74" s="175" t="s">
        <v>359</v>
      </c>
      <c r="F74" s="195"/>
      <c r="G74" s="195">
        <v>1</v>
      </c>
    </row>
    <row r="75" spans="1:10" ht="23.25" x14ac:dyDescent="0.25">
      <c r="A75" s="175" t="s">
        <v>361</v>
      </c>
      <c r="B75" s="195"/>
      <c r="C75" s="195" t="s">
        <v>360</v>
      </c>
      <c r="E75" s="175" t="s">
        <v>361</v>
      </c>
      <c r="F75" s="195"/>
      <c r="G75" s="195" t="s">
        <v>363</v>
      </c>
      <c r="I75" s="196" t="s">
        <v>377</v>
      </c>
      <c r="J75" s="212">
        <f>J76</f>
        <v>3910</v>
      </c>
    </row>
    <row r="76" spans="1:10" x14ac:dyDescent="0.25">
      <c r="A76" s="175" t="s">
        <v>2</v>
      </c>
      <c r="B76" s="195"/>
      <c r="C76" s="195">
        <v>20152</v>
      </c>
      <c r="E76" s="175" t="s">
        <v>2</v>
      </c>
      <c r="F76" s="195"/>
      <c r="G76" s="195">
        <v>16242</v>
      </c>
      <c r="I76" s="196" t="s">
        <v>376</v>
      </c>
      <c r="J76" s="212">
        <f>ABS(C76-G76)</f>
        <v>3910</v>
      </c>
    </row>
    <row r="77" spans="1:10" x14ac:dyDescent="0.25">
      <c r="A77" s="175" t="s">
        <v>69</v>
      </c>
      <c r="B77" s="175">
        <v>81.2</v>
      </c>
      <c r="C77" s="206">
        <f t="shared" ref="C77:C83" si="25">B77/100</f>
        <v>0.81200000000000006</v>
      </c>
      <c r="E77" s="175" t="s">
        <v>69</v>
      </c>
      <c r="F77" s="175">
        <v>78.5</v>
      </c>
      <c r="G77" s="206">
        <f t="shared" ref="G77:G83" si="26">F77/100</f>
        <v>0.78500000000000003</v>
      </c>
      <c r="I77" s="196" t="s">
        <v>69</v>
      </c>
      <c r="J77" s="213">
        <f>C77</f>
        <v>0.81200000000000006</v>
      </c>
    </row>
    <row r="78" spans="1:10" x14ac:dyDescent="0.25">
      <c r="A78" s="175" t="s">
        <v>70</v>
      </c>
      <c r="B78" s="175">
        <v>4.4000000000000004</v>
      </c>
      <c r="C78" s="206">
        <f t="shared" si="25"/>
        <v>4.4000000000000004E-2</v>
      </c>
      <c r="E78" s="175" t="s">
        <v>70</v>
      </c>
      <c r="F78" s="175">
        <v>4.4000000000000004</v>
      </c>
      <c r="G78" s="206">
        <f t="shared" si="26"/>
        <v>4.4000000000000004E-2</v>
      </c>
      <c r="I78" s="196" t="s">
        <v>70</v>
      </c>
      <c r="J78" s="213">
        <f t="shared" ref="J78:J83" si="27">C78</f>
        <v>4.4000000000000004E-2</v>
      </c>
    </row>
    <row r="79" spans="1:10" x14ac:dyDescent="0.25">
      <c r="A79" s="175" t="s">
        <v>29</v>
      </c>
      <c r="B79" s="175">
        <v>6.4</v>
      </c>
      <c r="C79" s="206">
        <f t="shared" si="25"/>
        <v>6.4000000000000001E-2</v>
      </c>
      <c r="E79" s="175" t="s">
        <v>29</v>
      </c>
      <c r="F79" s="175">
        <v>6.8</v>
      </c>
      <c r="G79" s="206">
        <f t="shared" si="26"/>
        <v>6.8000000000000005E-2</v>
      </c>
      <c r="I79" s="196" t="s">
        <v>29</v>
      </c>
      <c r="J79" s="213">
        <f t="shared" si="27"/>
        <v>6.4000000000000001E-2</v>
      </c>
    </row>
    <row r="80" spans="1:10" x14ac:dyDescent="0.25">
      <c r="A80" s="175" t="s">
        <v>71</v>
      </c>
      <c r="B80" s="175">
        <v>2.2999999999999998</v>
      </c>
      <c r="C80" s="206">
        <f t="shared" si="25"/>
        <v>2.3E-2</v>
      </c>
      <c r="E80" s="175" t="s">
        <v>71</v>
      </c>
      <c r="F80" s="175">
        <v>2.1</v>
      </c>
      <c r="G80" s="206">
        <f t="shared" si="26"/>
        <v>2.1000000000000001E-2</v>
      </c>
      <c r="I80" s="196" t="s">
        <v>71</v>
      </c>
      <c r="J80" s="213">
        <f t="shared" si="27"/>
        <v>2.3E-2</v>
      </c>
    </row>
    <row r="81" spans="1:10" x14ac:dyDescent="0.25">
      <c r="A81" s="175" t="s">
        <v>72</v>
      </c>
      <c r="B81" s="175">
        <v>3.6</v>
      </c>
      <c r="C81" s="206">
        <f t="shared" si="25"/>
        <v>3.6000000000000004E-2</v>
      </c>
      <c r="E81" s="175" t="s">
        <v>72</v>
      </c>
      <c r="F81" s="175">
        <v>4.5999999999999996</v>
      </c>
      <c r="G81" s="206">
        <f t="shared" si="26"/>
        <v>4.5999999999999999E-2</v>
      </c>
      <c r="I81" s="196" t="s">
        <v>72</v>
      </c>
      <c r="J81" s="213">
        <f t="shared" si="27"/>
        <v>3.6000000000000004E-2</v>
      </c>
    </row>
    <row r="82" spans="1:10" x14ac:dyDescent="0.25">
      <c r="A82" s="175" t="s">
        <v>73</v>
      </c>
      <c r="B82" s="175">
        <v>1.1000000000000001</v>
      </c>
      <c r="C82" s="206">
        <f t="shared" si="25"/>
        <v>1.1000000000000001E-2</v>
      </c>
      <c r="E82" s="175" t="s">
        <v>73</v>
      </c>
      <c r="F82" s="175">
        <v>1.7</v>
      </c>
      <c r="G82" s="206">
        <f t="shared" si="26"/>
        <v>1.7000000000000001E-2</v>
      </c>
      <c r="I82" s="196" t="s">
        <v>73</v>
      </c>
      <c r="J82" s="213">
        <f t="shared" si="27"/>
        <v>1.1000000000000001E-2</v>
      </c>
    </row>
    <row r="83" spans="1:10" x14ac:dyDescent="0.25">
      <c r="A83" s="175" t="s">
        <v>74</v>
      </c>
      <c r="B83" s="175">
        <v>0.8</v>
      </c>
      <c r="C83" s="206">
        <f t="shared" si="25"/>
        <v>8.0000000000000002E-3</v>
      </c>
      <c r="E83" s="175" t="s">
        <v>74</v>
      </c>
      <c r="F83" s="175">
        <v>1.6</v>
      </c>
      <c r="G83" s="206">
        <f t="shared" si="26"/>
        <v>1.6E-2</v>
      </c>
      <c r="I83" s="196" t="s">
        <v>74</v>
      </c>
      <c r="J83" s="213">
        <f t="shared" si="27"/>
        <v>8.0000000000000002E-3</v>
      </c>
    </row>
    <row r="84" spans="1:10" x14ac:dyDescent="0.25">
      <c r="A84" s="175" t="s">
        <v>75</v>
      </c>
      <c r="B84" s="175"/>
      <c r="C84" s="206">
        <f>1-SUM(C77:C83)</f>
        <v>1.9999999999997797E-3</v>
      </c>
      <c r="E84" s="175" t="s">
        <v>75</v>
      </c>
      <c r="F84" s="175"/>
      <c r="G84" s="206">
        <f>1-SUM(G77:G83)</f>
        <v>2.9999999999998916E-3</v>
      </c>
      <c r="I84" s="196" t="s">
        <v>75</v>
      </c>
      <c r="J84" s="213">
        <f>C84</f>
        <v>1.9999999999997797E-3</v>
      </c>
    </row>
    <row r="86" spans="1:10" x14ac:dyDescent="0.25">
      <c r="A86" s="203" t="s">
        <v>364</v>
      </c>
      <c r="B86" s="203">
        <f>B69+1</f>
        <v>6</v>
      </c>
      <c r="C86" s="203">
        <f>C69+1</f>
        <v>6</v>
      </c>
    </row>
    <row r="88" spans="1:10" ht="34.5" x14ac:dyDescent="0.25">
      <c r="A88" s="193" t="s">
        <v>356</v>
      </c>
      <c r="B88" s="194"/>
      <c r="C88" s="198" t="s">
        <v>374</v>
      </c>
      <c r="E88" s="193" t="s">
        <v>356</v>
      </c>
      <c r="F88" s="194"/>
      <c r="G88" s="198" t="s">
        <v>374</v>
      </c>
    </row>
    <row r="89" spans="1:10" ht="23.25" x14ac:dyDescent="0.25">
      <c r="A89" s="193" t="s">
        <v>357</v>
      </c>
      <c r="B89" s="194"/>
      <c r="C89" s="198" t="s">
        <v>373</v>
      </c>
      <c r="E89" s="193" t="s">
        <v>357</v>
      </c>
      <c r="F89" s="194"/>
      <c r="G89" s="198" t="s">
        <v>381</v>
      </c>
    </row>
    <row r="90" spans="1:10" x14ac:dyDescent="0.25">
      <c r="A90" s="193" t="s">
        <v>358</v>
      </c>
      <c r="B90" s="194"/>
      <c r="C90" s="194">
        <v>3</v>
      </c>
      <c r="E90" s="193" t="s">
        <v>358</v>
      </c>
      <c r="F90" s="194"/>
      <c r="G90" s="194">
        <v>1</v>
      </c>
    </row>
    <row r="91" spans="1:10" x14ac:dyDescent="0.25">
      <c r="A91" s="193" t="s">
        <v>359</v>
      </c>
      <c r="B91" s="194"/>
      <c r="C91" s="194">
        <v>1</v>
      </c>
      <c r="E91" s="193" t="s">
        <v>359</v>
      </c>
      <c r="F91" s="194"/>
      <c r="G91" s="194">
        <v>1</v>
      </c>
    </row>
    <row r="92" spans="1:10" ht="23.25" x14ac:dyDescent="0.25">
      <c r="A92" s="193" t="s">
        <v>361</v>
      </c>
      <c r="B92" s="194"/>
      <c r="C92" s="198" t="s">
        <v>375</v>
      </c>
      <c r="E92" s="193" t="s">
        <v>361</v>
      </c>
      <c r="F92" s="194"/>
      <c r="G92" s="198" t="s">
        <v>380</v>
      </c>
      <c r="I92" s="196" t="s">
        <v>377</v>
      </c>
      <c r="J92" s="197">
        <f>AVERAGE(C93,G93)</f>
        <v>2932</v>
      </c>
    </row>
    <row r="93" spans="1:10" x14ac:dyDescent="0.25">
      <c r="A93" s="193" t="s">
        <v>2</v>
      </c>
      <c r="B93" s="194"/>
      <c r="C93" s="194">
        <v>2590</v>
      </c>
      <c r="E93" s="193" t="s">
        <v>2</v>
      </c>
      <c r="F93" s="194"/>
      <c r="G93" s="194">
        <v>3274</v>
      </c>
      <c r="I93" s="196" t="s">
        <v>376</v>
      </c>
      <c r="J93" s="197">
        <f>MIN(C93,G93)</f>
        <v>2590</v>
      </c>
    </row>
    <row r="94" spans="1:10" x14ac:dyDescent="0.25">
      <c r="A94" s="193" t="s">
        <v>69</v>
      </c>
      <c r="B94" s="193">
        <v>61.9</v>
      </c>
      <c r="C94" s="205">
        <f t="shared" ref="C94:C100" si="28">B94/100</f>
        <v>0.61899999999999999</v>
      </c>
      <c r="E94" s="193" t="s">
        <v>69</v>
      </c>
      <c r="F94" s="193">
        <v>65.5</v>
      </c>
      <c r="G94" s="205">
        <f t="shared" ref="G94:G100" si="29">F94/100</f>
        <v>0.65500000000000003</v>
      </c>
      <c r="I94" s="196" t="s">
        <v>69</v>
      </c>
      <c r="J94" s="207">
        <f t="shared" ref="J94:J100" si="30">AVERAGE(C94,G94)</f>
        <v>0.63700000000000001</v>
      </c>
    </row>
    <row r="95" spans="1:10" x14ac:dyDescent="0.25">
      <c r="A95" s="193" t="s">
        <v>70</v>
      </c>
      <c r="B95" s="193">
        <v>3.8</v>
      </c>
      <c r="C95" s="205">
        <f t="shared" si="28"/>
        <v>3.7999999999999999E-2</v>
      </c>
      <c r="E95" s="193" t="s">
        <v>70</v>
      </c>
      <c r="F95" s="193">
        <v>3.4</v>
      </c>
      <c r="G95" s="205">
        <f t="shared" si="29"/>
        <v>3.4000000000000002E-2</v>
      </c>
      <c r="I95" s="196" t="s">
        <v>70</v>
      </c>
      <c r="J95" s="207">
        <f t="shared" si="30"/>
        <v>3.6000000000000004E-2</v>
      </c>
    </row>
    <row r="96" spans="1:10" x14ac:dyDescent="0.25">
      <c r="A96" s="193" t="s">
        <v>29</v>
      </c>
      <c r="B96" s="193">
        <v>7.9</v>
      </c>
      <c r="C96" s="205">
        <f t="shared" si="28"/>
        <v>7.9000000000000001E-2</v>
      </c>
      <c r="E96" s="193" t="s">
        <v>29</v>
      </c>
      <c r="F96" s="193">
        <v>6.2</v>
      </c>
      <c r="G96" s="205">
        <f t="shared" si="29"/>
        <v>6.2E-2</v>
      </c>
      <c r="I96" s="196" t="s">
        <v>29</v>
      </c>
      <c r="J96" s="207">
        <f t="shared" si="30"/>
        <v>7.0500000000000007E-2</v>
      </c>
    </row>
    <row r="97" spans="1:10" x14ac:dyDescent="0.25">
      <c r="A97" s="193" t="s">
        <v>71</v>
      </c>
      <c r="B97" s="193">
        <v>3.6</v>
      </c>
      <c r="C97" s="205">
        <f t="shared" si="28"/>
        <v>3.6000000000000004E-2</v>
      </c>
      <c r="E97" s="193" t="s">
        <v>71</v>
      </c>
      <c r="F97" s="193">
        <v>2.2999999999999998</v>
      </c>
      <c r="G97" s="205">
        <f t="shared" si="29"/>
        <v>2.3E-2</v>
      </c>
      <c r="I97" s="196" t="s">
        <v>71</v>
      </c>
      <c r="J97" s="207">
        <f t="shared" si="30"/>
        <v>2.9500000000000002E-2</v>
      </c>
    </row>
    <row r="98" spans="1:10" x14ac:dyDescent="0.25">
      <c r="A98" s="193" t="s">
        <v>72</v>
      </c>
      <c r="B98" s="193">
        <v>16.7</v>
      </c>
      <c r="C98" s="205">
        <f t="shared" si="28"/>
        <v>0.16699999999999998</v>
      </c>
      <c r="E98" s="193" t="s">
        <v>72</v>
      </c>
      <c r="F98" s="193">
        <v>15.8</v>
      </c>
      <c r="G98" s="205">
        <f t="shared" si="29"/>
        <v>0.158</v>
      </c>
      <c r="I98" s="196" t="s">
        <v>72</v>
      </c>
      <c r="J98" s="207">
        <f t="shared" si="30"/>
        <v>0.16249999999999998</v>
      </c>
    </row>
    <row r="99" spans="1:10" x14ac:dyDescent="0.25">
      <c r="A99" s="193" t="s">
        <v>73</v>
      </c>
      <c r="B99" s="193">
        <v>3.5</v>
      </c>
      <c r="C99" s="205">
        <f t="shared" si="28"/>
        <v>3.5000000000000003E-2</v>
      </c>
      <c r="E99" s="193" t="s">
        <v>73</v>
      </c>
      <c r="F99" s="193">
        <v>3.6</v>
      </c>
      <c r="G99" s="205">
        <f t="shared" si="29"/>
        <v>3.6000000000000004E-2</v>
      </c>
      <c r="I99" s="196" t="s">
        <v>73</v>
      </c>
      <c r="J99" s="207">
        <f t="shared" si="30"/>
        <v>3.5500000000000004E-2</v>
      </c>
    </row>
    <row r="100" spans="1:10" x14ac:dyDescent="0.25">
      <c r="A100" s="193" t="s">
        <v>74</v>
      </c>
      <c r="B100" s="193">
        <v>1.6</v>
      </c>
      <c r="C100" s="205">
        <f t="shared" si="28"/>
        <v>1.6E-2</v>
      </c>
      <c r="E100" s="193" t="s">
        <v>74</v>
      </c>
      <c r="F100" s="193">
        <v>2.2999999999999998</v>
      </c>
      <c r="G100" s="205">
        <f t="shared" si="29"/>
        <v>2.3E-2</v>
      </c>
      <c r="I100" s="196" t="s">
        <v>74</v>
      </c>
      <c r="J100" s="207">
        <f t="shared" si="30"/>
        <v>1.95E-2</v>
      </c>
    </row>
    <row r="101" spans="1:10" x14ac:dyDescent="0.25">
      <c r="A101" s="193" t="s">
        <v>75</v>
      </c>
      <c r="B101" s="193"/>
      <c r="C101" s="205">
        <f>1-SUM(C94:C100)</f>
        <v>9.9999999999998979E-3</v>
      </c>
      <c r="E101" s="193" t="s">
        <v>75</v>
      </c>
      <c r="F101" s="193"/>
      <c r="G101" s="205">
        <f>1-SUM(G94:G100)</f>
        <v>8.9999999999997859E-3</v>
      </c>
      <c r="I101" s="196" t="s">
        <v>75</v>
      </c>
      <c r="J101" s="207">
        <f>1-SUM(J94:J100)</f>
        <v>9.5000000000000639E-3</v>
      </c>
    </row>
    <row r="103" spans="1:10" x14ac:dyDescent="0.25">
      <c r="A103" s="203" t="s">
        <v>364</v>
      </c>
      <c r="B103" s="203">
        <f>B86+1</f>
        <v>7</v>
      </c>
      <c r="C103" s="203">
        <f>C86+1</f>
        <v>7</v>
      </c>
    </row>
    <row r="105" spans="1:10" ht="23.25" x14ac:dyDescent="0.25">
      <c r="A105" s="175" t="s">
        <v>356</v>
      </c>
      <c r="B105" s="195"/>
      <c r="C105" s="200" t="s">
        <v>382</v>
      </c>
      <c r="E105" s="193" t="s">
        <v>356</v>
      </c>
      <c r="F105" s="194"/>
      <c r="G105" s="198" t="s">
        <v>382</v>
      </c>
    </row>
    <row r="106" spans="1:10" x14ac:dyDescent="0.25">
      <c r="A106" s="175" t="s">
        <v>357</v>
      </c>
      <c r="B106" s="195"/>
      <c r="C106" s="200" t="s">
        <v>383</v>
      </c>
      <c r="E106" s="193" t="s">
        <v>357</v>
      </c>
      <c r="F106" s="194"/>
      <c r="G106" s="198" t="s">
        <v>386</v>
      </c>
    </row>
    <row r="107" spans="1:10" x14ac:dyDescent="0.25">
      <c r="A107" s="175" t="s">
        <v>358</v>
      </c>
      <c r="B107" s="195"/>
      <c r="C107" s="195">
        <v>3</v>
      </c>
      <c r="E107" s="193" t="s">
        <v>358</v>
      </c>
      <c r="F107" s="194"/>
      <c r="G107" s="194">
        <v>1</v>
      </c>
    </row>
    <row r="108" spans="1:10" x14ac:dyDescent="0.25">
      <c r="A108" s="175" t="s">
        <v>359</v>
      </c>
      <c r="B108" s="195"/>
      <c r="C108" s="195">
        <v>1</v>
      </c>
      <c r="E108" s="193" t="s">
        <v>359</v>
      </c>
      <c r="F108" s="194"/>
      <c r="G108" s="194">
        <v>1</v>
      </c>
    </row>
    <row r="109" spans="1:10" ht="23.25" x14ac:dyDescent="0.25">
      <c r="A109" s="175" t="s">
        <v>361</v>
      </c>
      <c r="B109" s="195"/>
      <c r="C109" s="200" t="s">
        <v>384</v>
      </c>
      <c r="E109" s="193" t="s">
        <v>361</v>
      </c>
      <c r="F109" s="194"/>
      <c r="G109" s="198" t="s">
        <v>385</v>
      </c>
      <c r="I109" s="196" t="s">
        <v>377</v>
      </c>
      <c r="J109" s="197">
        <f>AVERAGE(C110,G110)</f>
        <v>22745</v>
      </c>
    </row>
    <row r="110" spans="1:10" x14ac:dyDescent="0.25">
      <c r="A110" s="175" t="s">
        <v>2</v>
      </c>
      <c r="B110" s="195"/>
      <c r="C110" s="195">
        <v>23018</v>
      </c>
      <c r="E110" s="193" t="s">
        <v>2</v>
      </c>
      <c r="F110" s="194"/>
      <c r="G110" s="194">
        <v>22472</v>
      </c>
      <c r="I110" s="196" t="s">
        <v>376</v>
      </c>
      <c r="J110" s="197">
        <f>MIN(C110,G110)</f>
        <v>22472</v>
      </c>
    </row>
    <row r="111" spans="1:10" x14ac:dyDescent="0.25">
      <c r="A111" s="175" t="s">
        <v>69</v>
      </c>
      <c r="B111" s="175">
        <v>70.8</v>
      </c>
      <c r="C111" s="206">
        <f t="shared" ref="C111:C117" si="31">B111/100</f>
        <v>0.70799999999999996</v>
      </c>
      <c r="E111" s="193" t="s">
        <v>69</v>
      </c>
      <c r="F111" s="193">
        <v>68.3</v>
      </c>
      <c r="G111" s="205">
        <f t="shared" ref="G111:G117" si="32">F111/100</f>
        <v>0.68299999999999994</v>
      </c>
      <c r="I111" s="196" t="s">
        <v>69</v>
      </c>
      <c r="J111" s="207">
        <f t="shared" ref="J111:J117" si="33">AVERAGE(C111,G111)</f>
        <v>0.69550000000000001</v>
      </c>
    </row>
    <row r="112" spans="1:10" x14ac:dyDescent="0.25">
      <c r="A112" s="175" t="s">
        <v>70</v>
      </c>
      <c r="B112" s="175">
        <v>5.3</v>
      </c>
      <c r="C112" s="206">
        <f t="shared" si="31"/>
        <v>5.2999999999999999E-2</v>
      </c>
      <c r="E112" s="193" t="s">
        <v>70</v>
      </c>
      <c r="F112" s="193">
        <v>5.2</v>
      </c>
      <c r="G112" s="205">
        <f t="shared" si="32"/>
        <v>5.2000000000000005E-2</v>
      </c>
      <c r="I112" s="196" t="s">
        <v>70</v>
      </c>
      <c r="J112" s="207">
        <f t="shared" si="33"/>
        <v>5.2500000000000005E-2</v>
      </c>
    </row>
    <row r="113" spans="1:10" x14ac:dyDescent="0.25">
      <c r="A113" s="175" t="s">
        <v>29</v>
      </c>
      <c r="B113" s="175">
        <v>4.0999999999999996</v>
      </c>
      <c r="C113" s="206">
        <f t="shared" si="31"/>
        <v>4.0999999999999995E-2</v>
      </c>
      <c r="E113" s="193" t="s">
        <v>29</v>
      </c>
      <c r="F113" s="193">
        <v>6</v>
      </c>
      <c r="G113" s="205">
        <f t="shared" si="32"/>
        <v>0.06</v>
      </c>
      <c r="I113" s="196" t="s">
        <v>29</v>
      </c>
      <c r="J113" s="207">
        <f t="shared" si="33"/>
        <v>5.0499999999999996E-2</v>
      </c>
    </row>
    <row r="114" spans="1:10" x14ac:dyDescent="0.25">
      <c r="A114" s="175" t="s">
        <v>71</v>
      </c>
      <c r="B114" s="175">
        <v>3.5</v>
      </c>
      <c r="C114" s="206">
        <f t="shared" si="31"/>
        <v>3.5000000000000003E-2</v>
      </c>
      <c r="E114" s="193" t="s">
        <v>71</v>
      </c>
      <c r="F114" s="193">
        <v>3.3</v>
      </c>
      <c r="G114" s="205">
        <f t="shared" si="32"/>
        <v>3.3000000000000002E-2</v>
      </c>
      <c r="I114" s="196" t="s">
        <v>71</v>
      </c>
      <c r="J114" s="207">
        <f t="shared" si="33"/>
        <v>3.4000000000000002E-2</v>
      </c>
    </row>
    <row r="115" spans="1:10" x14ac:dyDescent="0.25">
      <c r="A115" s="175" t="s">
        <v>72</v>
      </c>
      <c r="B115" s="175">
        <v>10.9</v>
      </c>
      <c r="C115" s="206">
        <f t="shared" si="31"/>
        <v>0.109</v>
      </c>
      <c r="E115" s="193" t="s">
        <v>72</v>
      </c>
      <c r="F115" s="193">
        <v>9.6999999999999993</v>
      </c>
      <c r="G115" s="205">
        <f t="shared" si="32"/>
        <v>9.6999999999999989E-2</v>
      </c>
      <c r="I115" s="196" t="s">
        <v>72</v>
      </c>
      <c r="J115" s="207">
        <f t="shared" si="33"/>
        <v>0.10299999999999999</v>
      </c>
    </row>
    <row r="116" spans="1:10" x14ac:dyDescent="0.25">
      <c r="A116" s="175" t="s">
        <v>73</v>
      </c>
      <c r="B116" s="175">
        <v>2.7</v>
      </c>
      <c r="C116" s="206">
        <f t="shared" si="31"/>
        <v>2.7000000000000003E-2</v>
      </c>
      <c r="E116" s="193" t="s">
        <v>73</v>
      </c>
      <c r="F116" s="193">
        <v>4</v>
      </c>
      <c r="G116" s="205">
        <f t="shared" si="32"/>
        <v>0.04</v>
      </c>
      <c r="I116" s="196" t="s">
        <v>73</v>
      </c>
      <c r="J116" s="207">
        <f t="shared" si="33"/>
        <v>3.3500000000000002E-2</v>
      </c>
    </row>
    <row r="117" spans="1:10" x14ac:dyDescent="0.25">
      <c r="A117" s="175" t="s">
        <v>74</v>
      </c>
      <c r="B117" s="175">
        <v>2.4</v>
      </c>
      <c r="C117" s="206">
        <f t="shared" si="31"/>
        <v>2.4E-2</v>
      </c>
      <c r="E117" s="193" t="s">
        <v>74</v>
      </c>
      <c r="F117" s="193">
        <v>3.1</v>
      </c>
      <c r="G117" s="205">
        <f t="shared" si="32"/>
        <v>3.1E-2</v>
      </c>
      <c r="I117" s="196" t="s">
        <v>74</v>
      </c>
      <c r="J117" s="207">
        <f t="shared" si="33"/>
        <v>2.75E-2</v>
      </c>
    </row>
    <row r="118" spans="1:10" x14ac:dyDescent="0.25">
      <c r="A118" s="175" t="s">
        <v>75</v>
      </c>
      <c r="B118" s="175"/>
      <c r="C118" s="206">
        <f>1-SUM(C111:C117)</f>
        <v>2.9999999999998916E-3</v>
      </c>
      <c r="E118" s="193" t="s">
        <v>75</v>
      </c>
      <c r="F118" s="193"/>
      <c r="G118" s="205">
        <f>1-SUM(G111:G117)</f>
        <v>4.0000000000000036E-3</v>
      </c>
      <c r="I118" s="196" t="s">
        <v>75</v>
      </c>
      <c r="J118" s="207">
        <f>1-SUM(J111:J117)</f>
        <v>3.5000000000000586E-3</v>
      </c>
    </row>
  </sheetData>
  <mergeCells count="11">
    <mergeCell ref="U17:U18"/>
    <mergeCell ref="L7:S7"/>
    <mergeCell ref="Q17:Q18"/>
    <mergeCell ref="R17:R18"/>
    <mergeCell ref="S17:S18"/>
    <mergeCell ref="T17:T18"/>
    <mergeCell ref="L17:L18"/>
    <mergeCell ref="M17:M18"/>
    <mergeCell ref="N17:N18"/>
    <mergeCell ref="O17:O18"/>
    <mergeCell ref="P17:P18"/>
  </mergeCells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>
    <pageSetUpPr fitToPage="1"/>
  </sheetPr>
  <dimension ref="A2:Q236"/>
  <sheetViews>
    <sheetView topLeftCell="A226" zoomScale="115" zoomScaleNormal="115" workbookViewId="0">
      <selection activeCell="D235" sqref="D235"/>
    </sheetView>
  </sheetViews>
  <sheetFormatPr baseColWidth="10" defaultRowHeight="15" x14ac:dyDescent="0.25"/>
  <cols>
    <col min="2" max="3" width="16" customWidth="1"/>
    <col min="4" max="4" width="21.7109375" customWidth="1"/>
    <col min="5" max="9" width="16" customWidth="1"/>
    <col min="10" max="14" width="13" customWidth="1"/>
  </cols>
  <sheetData>
    <row r="2" spans="2:2" x14ac:dyDescent="0.25">
      <c r="B2" s="13" t="s">
        <v>215</v>
      </c>
    </row>
    <row r="3" spans="2:2" x14ac:dyDescent="0.25">
      <c r="B3" s="13"/>
    </row>
    <row r="4" spans="2:2" x14ac:dyDescent="0.25">
      <c r="B4" s="13" t="s">
        <v>387</v>
      </c>
    </row>
    <row r="5" spans="2:2" x14ac:dyDescent="0.25">
      <c r="B5" s="13"/>
    </row>
    <row r="6" spans="2:2" x14ac:dyDescent="0.25">
      <c r="B6" s="13"/>
    </row>
    <row r="7" spans="2:2" x14ac:dyDescent="0.25">
      <c r="B7" s="13"/>
    </row>
    <row r="8" spans="2:2" x14ac:dyDescent="0.25">
      <c r="B8" s="13"/>
    </row>
    <row r="9" spans="2:2" x14ac:dyDescent="0.25">
      <c r="B9" s="13"/>
    </row>
    <row r="10" spans="2:2" x14ac:dyDescent="0.25">
      <c r="B10" s="13"/>
    </row>
    <row r="11" spans="2:2" x14ac:dyDescent="0.25">
      <c r="B11" s="13"/>
    </row>
    <row r="12" spans="2:2" x14ac:dyDescent="0.25">
      <c r="B12" s="13"/>
    </row>
    <row r="13" spans="2:2" x14ac:dyDescent="0.25">
      <c r="B13" s="13"/>
    </row>
    <row r="14" spans="2:2" x14ac:dyDescent="0.25">
      <c r="B14" s="13"/>
    </row>
    <row r="15" spans="2:2" x14ac:dyDescent="0.25">
      <c r="B15" s="13"/>
    </row>
    <row r="16" spans="2:2" x14ac:dyDescent="0.25">
      <c r="B16" s="13"/>
    </row>
    <row r="17" spans="2:9" x14ac:dyDescent="0.25">
      <c r="B17" s="13"/>
    </row>
    <row r="18" spans="2:9" x14ac:dyDescent="0.25">
      <c r="B18" s="13"/>
    </row>
    <row r="19" spans="2:9" x14ac:dyDescent="0.25">
      <c r="B19" s="13" t="s">
        <v>488</v>
      </c>
    </row>
    <row r="20" spans="2:9" x14ac:dyDescent="0.25">
      <c r="B20" s="13"/>
    </row>
    <row r="21" spans="2:9" x14ac:dyDescent="0.25">
      <c r="B21" s="78" t="s">
        <v>141</v>
      </c>
      <c r="C21" s="82">
        <v>1</v>
      </c>
      <c r="D21" s="82">
        <v>2</v>
      </c>
      <c r="E21" s="82">
        <v>3</v>
      </c>
      <c r="F21" s="82">
        <v>4</v>
      </c>
      <c r="G21" s="82">
        <v>5</v>
      </c>
      <c r="H21" s="82">
        <v>6</v>
      </c>
      <c r="I21" s="82">
        <v>7</v>
      </c>
    </row>
    <row r="22" spans="2:9" x14ac:dyDescent="0.25">
      <c r="B22" s="78" t="s">
        <v>170</v>
      </c>
      <c r="C22" s="190" t="str">
        <f>PORTADA!C7</f>
        <v>Toluca - Atlacomulco (57)</v>
      </c>
      <c r="D22" s="190" t="str">
        <f>PORTADA!D7</f>
        <v>Atlacomulco - Acambay (57)</v>
      </c>
      <c r="E22" s="190" t="str">
        <f>PORTADA!E7</f>
        <v>Atlacomulco - Acambay (40D)</v>
      </c>
      <c r="F22" s="190" t="str">
        <f>PORTADA!F7</f>
        <v>Acambay - Palmillas (57)</v>
      </c>
      <c r="G22" s="190" t="str">
        <f>PORTADA!G7</f>
        <v>Toluca - Jilotepec (57)</v>
      </c>
      <c r="H22" s="190" t="str">
        <f>PORTADA!H7</f>
        <v>Acambay - Jilotepec (40D)</v>
      </c>
      <c r="I22" s="190" t="str">
        <f>PORTADA!I7</f>
        <v>Jilotepec - Palmillas (57D)</v>
      </c>
    </row>
    <row r="23" spans="2:9" x14ac:dyDescent="0.25">
      <c r="B23" s="78" t="s">
        <v>236</v>
      </c>
      <c r="C23" s="190">
        <f>PORTADA!C8</f>
        <v>45400</v>
      </c>
      <c r="D23" s="190">
        <f>PORTADA!D8</f>
        <v>23300</v>
      </c>
      <c r="E23" s="190">
        <f>PORTADA!E8</f>
        <v>23300</v>
      </c>
      <c r="F23" s="190">
        <f>PORTADA!F8</f>
        <v>53900</v>
      </c>
      <c r="G23" s="190">
        <f>PORTADA!G8</f>
        <v>83100</v>
      </c>
      <c r="H23" s="190">
        <f>PORTADA!H8</f>
        <v>39100</v>
      </c>
      <c r="I23" s="190">
        <f>PORTADA!I8</f>
        <v>67200</v>
      </c>
    </row>
    <row r="24" spans="2:9" x14ac:dyDescent="0.25">
      <c r="B24" s="78" t="s">
        <v>110</v>
      </c>
      <c r="C24" s="190" t="str">
        <f>PORTADA!C9</f>
        <v>Lomerío</v>
      </c>
      <c r="D24" s="190" t="str">
        <f>PORTADA!D9</f>
        <v>Montañoso</v>
      </c>
      <c r="E24" s="190" t="str">
        <f>PORTADA!E9</f>
        <v>Montañoso</v>
      </c>
      <c r="F24" s="190" t="str">
        <f>PORTADA!F9</f>
        <v>Montañoso</v>
      </c>
      <c r="G24" s="190" t="str">
        <f>PORTADA!G9</f>
        <v>Lomerío</v>
      </c>
      <c r="H24" s="190" t="str">
        <f>PORTADA!H9</f>
        <v>Lomerío</v>
      </c>
      <c r="I24" s="190" t="str">
        <f>PORTADA!I9</f>
        <v>Lomerío</v>
      </c>
    </row>
    <row r="25" spans="2:9" x14ac:dyDescent="0.25">
      <c r="B25" s="78" t="s">
        <v>125</v>
      </c>
      <c r="C25" s="190">
        <f>PORTADA!C10</f>
        <v>4</v>
      </c>
      <c r="D25" s="190">
        <f>PORTADA!D10</f>
        <v>6</v>
      </c>
      <c r="E25" s="190">
        <f>PORTADA!E10</f>
        <v>4</v>
      </c>
      <c r="F25" s="190">
        <f>PORTADA!F10</f>
        <v>4</v>
      </c>
      <c r="G25" s="190">
        <f>PORTADA!G10</f>
        <v>8</v>
      </c>
      <c r="H25" s="190">
        <f>PORTADA!H10</f>
        <v>4</v>
      </c>
      <c r="I25" s="190">
        <f>PORTADA!I10</f>
        <v>2</v>
      </c>
    </row>
    <row r="26" spans="2:9" x14ac:dyDescent="0.25">
      <c r="B26" s="78" t="s">
        <v>348</v>
      </c>
      <c r="C26" s="190" t="str">
        <f>PORTADA!C11</f>
        <v>CUOTA 2 Carriles</v>
      </c>
      <c r="D26" s="190" t="str">
        <f>PORTADA!D11</f>
        <v>"B" 2 Carriles</v>
      </c>
      <c r="E26" s="190" t="str">
        <f>PORTADA!E11</f>
        <v>CUOTA 2 Carriles</v>
      </c>
      <c r="F26" s="190" t="str">
        <f>PORTADA!F11</f>
        <v>"C" 2 Carriles</v>
      </c>
      <c r="G26" s="190" t="str">
        <f>PORTADA!G11</f>
        <v>CUOTA 2 Carriles</v>
      </c>
      <c r="H26" s="190" t="str">
        <f>PORTADA!H11</f>
        <v>CUOTA 2 Carriles</v>
      </c>
      <c r="I26" s="190" t="str">
        <f>PORTADA!I11</f>
        <v>CUOTA 4+ Carriles</v>
      </c>
    </row>
    <row r="27" spans="2:9" x14ac:dyDescent="0.25">
      <c r="B27" s="87"/>
      <c r="C27" s="88"/>
      <c r="D27" s="88"/>
      <c r="E27" s="88"/>
      <c r="F27" s="88"/>
      <c r="G27" s="88"/>
      <c r="H27" s="88"/>
      <c r="I27" s="88"/>
    </row>
    <row r="28" spans="2:9" x14ac:dyDescent="0.25">
      <c r="B28" s="87" t="s">
        <v>489</v>
      </c>
      <c r="C28" s="88"/>
      <c r="D28" s="88"/>
      <c r="E28" s="88"/>
      <c r="F28" s="88"/>
      <c r="G28" s="88"/>
      <c r="H28" s="88"/>
      <c r="I28" s="88"/>
    </row>
    <row r="29" spans="2:9" x14ac:dyDescent="0.25">
      <c r="B29" s="87"/>
      <c r="C29" s="88"/>
      <c r="D29" s="88"/>
      <c r="E29" s="88"/>
      <c r="F29" s="88"/>
      <c r="G29" s="88"/>
      <c r="H29" s="88"/>
      <c r="I29" s="88"/>
    </row>
    <row r="30" spans="2:9" x14ac:dyDescent="0.25">
      <c r="B30" s="78" t="s">
        <v>286</v>
      </c>
      <c r="C30" s="82" t="s">
        <v>69</v>
      </c>
      <c r="D30" s="82" t="s">
        <v>237</v>
      </c>
      <c r="E30" s="82" t="s">
        <v>28</v>
      </c>
      <c r="F30" s="12" t="s">
        <v>238</v>
      </c>
      <c r="G30" s="114" t="s">
        <v>271</v>
      </c>
      <c r="H30" s="224"/>
      <c r="I30" s="88"/>
    </row>
    <row r="31" spans="2:9" x14ac:dyDescent="0.25">
      <c r="B31" s="78" t="s">
        <v>239</v>
      </c>
      <c r="C31" s="211">
        <f>PORTADA!C35</f>
        <v>1</v>
      </c>
      <c r="D31" s="211">
        <f>PORTADA!D35</f>
        <v>2</v>
      </c>
      <c r="E31" s="211">
        <f>PORTADA!E35</f>
        <v>4</v>
      </c>
      <c r="F31" s="211" t="str">
        <f>PORTADA!F35</f>
        <v>N/A</v>
      </c>
      <c r="G31" s="272">
        <f>'I. CIHH'!J110</f>
        <v>122.6</v>
      </c>
      <c r="H31" s="32"/>
      <c r="I31" s="88"/>
    </row>
    <row r="32" spans="2:9" x14ac:dyDescent="0.25">
      <c r="B32" s="78" t="s">
        <v>241</v>
      </c>
      <c r="C32" s="211">
        <f>PORTADA!C36</f>
        <v>1</v>
      </c>
      <c r="D32" s="211">
        <f>PORTADA!D36</f>
        <v>2</v>
      </c>
      <c r="E32" s="211">
        <f>PORTADA!E36</f>
        <v>6</v>
      </c>
      <c r="F32" s="211">
        <f>PORTADA!F36</f>
        <v>7</v>
      </c>
      <c r="G32" s="272">
        <f>'I. CIHH'!J111</f>
        <v>175</v>
      </c>
      <c r="H32" s="32"/>
      <c r="I32" s="88"/>
    </row>
    <row r="33" spans="2:10" x14ac:dyDescent="0.25">
      <c r="B33" s="78" t="s">
        <v>240</v>
      </c>
      <c r="C33" s="211">
        <f>PORTADA!C37</f>
        <v>1</v>
      </c>
      <c r="D33" s="211">
        <f>PORTADA!D37</f>
        <v>3</v>
      </c>
      <c r="E33" s="211">
        <f>PORTADA!E37</f>
        <v>4</v>
      </c>
      <c r="F33" s="211" t="str">
        <f>PORTADA!F37</f>
        <v>N/A</v>
      </c>
      <c r="G33" s="272">
        <f>'I. CIHH'!J112</f>
        <v>122.6</v>
      </c>
      <c r="H33" s="32"/>
      <c r="I33" s="88"/>
    </row>
    <row r="34" spans="2:10" x14ac:dyDescent="0.25">
      <c r="B34" s="78" t="s">
        <v>242</v>
      </c>
      <c r="C34" s="211">
        <f>PORTADA!C38</f>
        <v>1</v>
      </c>
      <c r="D34" s="211">
        <f>PORTADA!D38</f>
        <v>3</v>
      </c>
      <c r="E34" s="211">
        <f>PORTADA!E38</f>
        <v>6</v>
      </c>
      <c r="F34" s="211">
        <f>PORTADA!F38</f>
        <v>7</v>
      </c>
      <c r="G34" s="272">
        <f>'I. CIHH'!J113</f>
        <v>175</v>
      </c>
      <c r="H34" s="32"/>
      <c r="I34" s="88"/>
    </row>
    <row r="35" spans="2:10" x14ac:dyDescent="0.25">
      <c r="B35" s="78" t="s">
        <v>243</v>
      </c>
      <c r="C35" s="211">
        <f>PORTADA!C39</f>
        <v>5</v>
      </c>
      <c r="D35" s="211">
        <f>PORTADA!D39</f>
        <v>6</v>
      </c>
      <c r="E35" s="211">
        <f>PORTADA!E39</f>
        <v>4</v>
      </c>
      <c r="F35" s="211" t="str">
        <f>PORTADA!F39</f>
        <v>N/A</v>
      </c>
      <c r="G35" s="272">
        <f>'I. CIHH'!J114</f>
        <v>176.1</v>
      </c>
      <c r="H35" s="32"/>
      <c r="I35" s="88"/>
    </row>
    <row r="36" spans="2:10" x14ac:dyDescent="0.25">
      <c r="B36" s="78" t="s">
        <v>244</v>
      </c>
      <c r="C36" s="211">
        <f>PORTADA!C40</f>
        <v>5</v>
      </c>
      <c r="D36" s="211">
        <f>PORTADA!D40</f>
        <v>7</v>
      </c>
      <c r="E36" s="211" t="str">
        <f>PORTADA!E40</f>
        <v>N/A</v>
      </c>
      <c r="F36" s="211" t="str">
        <f>PORTADA!F40</f>
        <v>N/A</v>
      </c>
      <c r="G36" s="272">
        <f>'I. CIHH'!J115</f>
        <v>150.30000000000001</v>
      </c>
      <c r="H36" s="32"/>
      <c r="I36" s="88"/>
    </row>
    <row r="37" spans="2:10" x14ac:dyDescent="0.25">
      <c r="B37" s="87"/>
      <c r="C37" s="88"/>
      <c r="D37" s="88"/>
      <c r="E37" s="88"/>
      <c r="F37" s="88"/>
      <c r="G37" s="88"/>
      <c r="H37" s="88"/>
      <c r="I37" s="88"/>
    </row>
    <row r="38" spans="2:10" x14ac:dyDescent="0.25">
      <c r="B38" s="13" t="s">
        <v>490</v>
      </c>
      <c r="I38" s="88"/>
    </row>
    <row r="39" spans="2:10" x14ac:dyDescent="0.25">
      <c r="B39" s="13"/>
      <c r="I39" s="88"/>
    </row>
    <row r="40" spans="2:10" x14ac:dyDescent="0.25">
      <c r="B40" s="336" t="s">
        <v>350</v>
      </c>
      <c r="C40" s="336"/>
      <c r="D40" s="336"/>
      <c r="E40" s="336"/>
      <c r="F40" s="336"/>
      <c r="G40" s="336"/>
      <c r="H40" s="336"/>
      <c r="I40" s="336"/>
      <c r="J40" s="336"/>
    </row>
    <row r="41" spans="2:10" x14ac:dyDescent="0.25">
      <c r="B41" s="184" t="s">
        <v>52</v>
      </c>
      <c r="C41" s="184">
        <f t="shared" ref="C41:I41" si="0">C21</f>
        <v>1</v>
      </c>
      <c r="D41" s="184">
        <f t="shared" si="0"/>
        <v>2</v>
      </c>
      <c r="E41" s="184">
        <f t="shared" si="0"/>
        <v>3</v>
      </c>
      <c r="F41" s="184">
        <f t="shared" si="0"/>
        <v>4</v>
      </c>
      <c r="G41" s="184">
        <f t="shared" si="0"/>
        <v>5</v>
      </c>
      <c r="H41" s="184">
        <f t="shared" si="0"/>
        <v>6</v>
      </c>
      <c r="I41" s="184">
        <f t="shared" si="0"/>
        <v>7</v>
      </c>
      <c r="J41" s="82" t="s">
        <v>351</v>
      </c>
    </row>
    <row r="42" spans="2:10" x14ac:dyDescent="0.25">
      <c r="B42" s="82" t="s">
        <v>69</v>
      </c>
      <c r="C42" s="188">
        <f>PORTADA!C13</f>
        <v>0.79749999999999999</v>
      </c>
      <c r="D42" s="188">
        <f>PORTADA!D13</f>
        <v>0.82350000000000001</v>
      </c>
      <c r="E42" s="188">
        <f>PORTADA!E13</f>
        <v>0.63500000000000001</v>
      </c>
      <c r="F42" s="188">
        <f>PORTADA!F13</f>
        <v>0.77299999999999991</v>
      </c>
      <c r="G42" s="188">
        <f>PORTADA!G13</f>
        <v>0.81200000000000006</v>
      </c>
      <c r="H42" s="188">
        <f>PORTADA!H13</f>
        <v>0.63700000000000001</v>
      </c>
      <c r="I42" s="188">
        <f>PORTADA!I13</f>
        <v>0.68299999999999994</v>
      </c>
      <c r="J42" s="189">
        <f>TDPA!U21</f>
        <v>0.79800000000000004</v>
      </c>
    </row>
    <row r="43" spans="2:10" x14ac:dyDescent="0.25">
      <c r="B43" s="82" t="s">
        <v>70</v>
      </c>
      <c r="C43" s="188">
        <f>PORTADA!C14</f>
        <v>0.04</v>
      </c>
      <c r="D43" s="188">
        <f>PORTADA!D14</f>
        <v>2.5500000000000002E-2</v>
      </c>
      <c r="E43" s="188">
        <f>PORTADA!E14</f>
        <v>3.15E-2</v>
      </c>
      <c r="F43" s="188">
        <f>PORTADA!F14</f>
        <v>3.6500000000000005E-2</v>
      </c>
      <c r="G43" s="188">
        <f>PORTADA!G14</f>
        <v>4.4000000000000004E-2</v>
      </c>
      <c r="H43" s="188">
        <f>PORTADA!H14</f>
        <v>3.6000000000000004E-2</v>
      </c>
      <c r="I43" s="188">
        <f>PORTADA!I14</f>
        <v>5.2000000000000005E-2</v>
      </c>
      <c r="J43" s="189">
        <f>TDPA!U22</f>
        <v>3.4000000000000002E-2</v>
      </c>
    </row>
    <row r="44" spans="2:10" x14ac:dyDescent="0.25">
      <c r="B44" s="82" t="s">
        <v>29</v>
      </c>
      <c r="C44" s="188">
        <f>PORTADA!C15</f>
        <v>7.2500000000000009E-2</v>
      </c>
      <c r="D44" s="188">
        <f>PORTADA!D15</f>
        <v>6.7000000000000004E-2</v>
      </c>
      <c r="E44" s="188">
        <f>PORTADA!E15</f>
        <v>7.5500000000000012E-2</v>
      </c>
      <c r="F44" s="188">
        <f>PORTADA!F15</f>
        <v>7.1000000000000008E-2</v>
      </c>
      <c r="G44" s="188">
        <f>PORTADA!G15</f>
        <v>6.4000000000000001E-2</v>
      </c>
      <c r="H44" s="188">
        <f>PORTADA!H15</f>
        <v>7.0500000000000007E-2</v>
      </c>
      <c r="I44" s="188">
        <f>PORTADA!I15</f>
        <v>0.06</v>
      </c>
      <c r="J44" s="189">
        <f>TDPA!U23</f>
        <v>7.0166666666666669E-2</v>
      </c>
    </row>
    <row r="45" spans="2:10" x14ac:dyDescent="0.25">
      <c r="B45" s="82" t="s">
        <v>71</v>
      </c>
      <c r="C45" s="188">
        <f>PORTADA!C16</f>
        <v>1.8500000000000003E-2</v>
      </c>
      <c r="D45" s="188">
        <f>PORTADA!D16</f>
        <v>0.02</v>
      </c>
      <c r="E45" s="188">
        <f>PORTADA!E16</f>
        <v>3.0000000000000002E-2</v>
      </c>
      <c r="F45" s="188">
        <f>PORTADA!F16</f>
        <v>2.4E-2</v>
      </c>
      <c r="G45" s="188">
        <f>PORTADA!G16</f>
        <v>2.3E-2</v>
      </c>
      <c r="H45" s="188">
        <f>PORTADA!H16</f>
        <v>2.9500000000000002E-2</v>
      </c>
      <c r="I45" s="188">
        <f>PORTADA!I16</f>
        <v>3.3000000000000002E-2</v>
      </c>
      <c r="J45" s="189">
        <f>TDPA!U24</f>
        <v>2.0833333333333332E-2</v>
      </c>
    </row>
    <row r="46" spans="2:10" x14ac:dyDescent="0.25">
      <c r="B46" s="82" t="s">
        <v>72</v>
      </c>
      <c r="C46" s="188">
        <f>PORTADA!C17</f>
        <v>4.2999999999999997E-2</v>
      </c>
      <c r="D46" s="188">
        <f>PORTADA!D17</f>
        <v>3.5000000000000003E-2</v>
      </c>
      <c r="E46" s="188">
        <f>PORTADA!E17</f>
        <v>0.16599999999999998</v>
      </c>
      <c r="F46" s="188">
        <f>PORTADA!F17</f>
        <v>6.7000000000000004E-2</v>
      </c>
      <c r="G46" s="188">
        <f>PORTADA!G17</f>
        <v>3.6000000000000004E-2</v>
      </c>
      <c r="H46" s="188">
        <f>PORTADA!H17</f>
        <v>0.16249999999999998</v>
      </c>
      <c r="I46" s="188">
        <f>PORTADA!I17</f>
        <v>9.6999999999999989E-2</v>
      </c>
      <c r="J46" s="189">
        <f>TDPA!U25</f>
        <v>4.8333333333333339E-2</v>
      </c>
    </row>
    <row r="47" spans="2:10" x14ac:dyDescent="0.25">
      <c r="B47" s="82" t="s">
        <v>73</v>
      </c>
      <c r="C47" s="188">
        <f>PORTADA!C18</f>
        <v>1.55E-2</v>
      </c>
      <c r="D47" s="188">
        <f>PORTADA!D18</f>
        <v>1.2999999999999999E-2</v>
      </c>
      <c r="E47" s="188">
        <f>PORTADA!E18</f>
        <v>3.8500000000000006E-2</v>
      </c>
      <c r="F47" s="188">
        <f>PORTADA!F18</f>
        <v>1.8000000000000002E-2</v>
      </c>
      <c r="G47" s="188">
        <f>PORTADA!G18</f>
        <v>1.1000000000000001E-2</v>
      </c>
      <c r="H47" s="188">
        <f>PORTADA!H18</f>
        <v>3.5500000000000004E-2</v>
      </c>
      <c r="I47" s="188">
        <f>PORTADA!I18</f>
        <v>0.04</v>
      </c>
      <c r="J47" s="189">
        <f>TDPA!U26</f>
        <v>1.55E-2</v>
      </c>
    </row>
    <row r="48" spans="2:10" x14ac:dyDescent="0.25">
      <c r="B48" s="82" t="s">
        <v>74</v>
      </c>
      <c r="C48" s="188">
        <f>PORTADA!C19</f>
        <v>1.0999999999999999E-2</v>
      </c>
      <c r="D48" s="188">
        <f>PORTADA!D19</f>
        <v>1.2500000000000001E-2</v>
      </c>
      <c r="E48" s="188">
        <f>PORTADA!E19</f>
        <v>1.4999999999999999E-2</v>
      </c>
      <c r="F48" s="188">
        <f>PORTADA!F19</f>
        <v>7.0000000000000001E-3</v>
      </c>
      <c r="G48" s="188">
        <f>PORTADA!G19</f>
        <v>8.0000000000000002E-3</v>
      </c>
      <c r="H48" s="188">
        <f>PORTADA!H19</f>
        <v>1.95E-2</v>
      </c>
      <c r="I48" s="188">
        <f>PORTADA!I19</f>
        <v>3.1E-2</v>
      </c>
      <c r="J48" s="189">
        <f>TDPA!U27</f>
        <v>1.0166666666666666E-2</v>
      </c>
    </row>
    <row r="49" spans="2:10" x14ac:dyDescent="0.25">
      <c r="B49" s="82" t="s">
        <v>75</v>
      </c>
      <c r="C49" s="188">
        <f>PORTADA!C20</f>
        <v>2.0000000000000018E-3</v>
      </c>
      <c r="D49" s="188">
        <f>PORTADA!D20</f>
        <v>3.5000000000000586E-3</v>
      </c>
      <c r="E49" s="188">
        <f>PORTADA!E20</f>
        <v>8.5000000000000631E-3</v>
      </c>
      <c r="F49" s="188">
        <f>PORTADA!F20</f>
        <v>3.5000000000001696E-3</v>
      </c>
      <c r="G49" s="188">
        <f>PORTADA!G20</f>
        <v>1.9999999999997797E-3</v>
      </c>
      <c r="H49" s="188">
        <f>PORTADA!H20</f>
        <v>9.5000000000000639E-3</v>
      </c>
      <c r="I49" s="188">
        <f>PORTADA!I20</f>
        <v>4.0000000000000036E-3</v>
      </c>
      <c r="J49" s="189">
        <f>TDPA!U28</f>
        <v>3.0000000000000768E-3</v>
      </c>
    </row>
    <row r="50" spans="2:10" x14ac:dyDescent="0.25">
      <c r="B50" s="51" t="s">
        <v>76</v>
      </c>
      <c r="C50" s="52" t="s">
        <v>68</v>
      </c>
      <c r="D50" s="46"/>
      <c r="I50" s="88"/>
    </row>
    <row r="51" spans="2:10" x14ac:dyDescent="0.25">
      <c r="B51" s="87"/>
      <c r="C51" s="187"/>
      <c r="D51" s="187"/>
      <c r="E51" s="187"/>
      <c r="F51" s="187"/>
      <c r="G51" s="187"/>
      <c r="H51" s="187"/>
      <c r="I51" s="187"/>
    </row>
    <row r="52" spans="2:10" x14ac:dyDescent="0.25">
      <c r="B52" s="13" t="s">
        <v>491</v>
      </c>
      <c r="G52" s="88"/>
      <c r="H52" s="88"/>
      <c r="I52" s="88"/>
    </row>
    <row r="53" spans="2:10" x14ac:dyDescent="0.25">
      <c r="B53" s="13"/>
      <c r="G53" s="88"/>
      <c r="H53" s="88"/>
      <c r="I53" s="88"/>
    </row>
    <row r="54" spans="2:10" x14ac:dyDescent="0.25">
      <c r="B54" s="336" t="s">
        <v>349</v>
      </c>
      <c r="C54" s="336"/>
      <c r="D54" s="336"/>
      <c r="E54" s="336"/>
      <c r="F54" s="336"/>
      <c r="G54" s="336"/>
      <c r="H54" s="336"/>
      <c r="I54" s="336"/>
    </row>
    <row r="55" spans="2:10" x14ac:dyDescent="0.25">
      <c r="B55" s="183" t="str">
        <f>B21</f>
        <v>Tramo</v>
      </c>
      <c r="C55" s="183">
        <f t="shared" ref="C55:I55" si="1">C41</f>
        <v>1</v>
      </c>
      <c r="D55" s="183">
        <f t="shared" si="1"/>
        <v>2</v>
      </c>
      <c r="E55" s="183">
        <f t="shared" si="1"/>
        <v>3</v>
      </c>
      <c r="F55" s="183">
        <f t="shared" si="1"/>
        <v>4</v>
      </c>
      <c r="G55" s="183">
        <f t="shared" si="1"/>
        <v>5</v>
      </c>
      <c r="H55" s="183">
        <f t="shared" si="1"/>
        <v>6</v>
      </c>
      <c r="I55" s="183">
        <f t="shared" si="1"/>
        <v>7</v>
      </c>
    </row>
    <row r="56" spans="2:10" x14ac:dyDescent="0.25">
      <c r="B56" s="82" t="s">
        <v>2</v>
      </c>
      <c r="C56" s="191">
        <f>PORTADA!C21</f>
        <v>20554</v>
      </c>
      <c r="D56" s="191">
        <f>PORTADA!D21</f>
        <v>8833.5</v>
      </c>
      <c r="E56" s="191">
        <f>PORTADA!E21</f>
        <v>2635.5</v>
      </c>
      <c r="F56" s="191">
        <f>PORTADA!F21</f>
        <v>5458.5</v>
      </c>
      <c r="G56" s="191">
        <f>PORTADA!G21</f>
        <v>3910</v>
      </c>
      <c r="H56" s="191">
        <f>PORTADA!H21</f>
        <v>2932</v>
      </c>
      <c r="I56" s="191">
        <f>PORTADA!I21</f>
        <v>22745</v>
      </c>
    </row>
    <row r="57" spans="2:10" x14ac:dyDescent="0.25">
      <c r="B57" s="18"/>
      <c r="C57" s="214"/>
      <c r="D57" s="214"/>
      <c r="E57" s="214"/>
      <c r="F57" s="214"/>
      <c r="G57" s="214"/>
      <c r="H57" s="214"/>
      <c r="I57" s="214"/>
      <c r="J57" s="215"/>
    </row>
    <row r="58" spans="2:10" x14ac:dyDescent="0.25">
      <c r="B58" s="18" t="s">
        <v>389</v>
      </c>
      <c r="C58" s="273">
        <f>PORTADA!C42</f>
        <v>5458.5</v>
      </c>
      <c r="D58" s="216" t="s">
        <v>390</v>
      </c>
      <c r="E58" s="214"/>
      <c r="F58" s="214"/>
      <c r="G58" s="214"/>
      <c r="H58" s="214"/>
      <c r="I58" s="214"/>
      <c r="J58" s="215"/>
    </row>
    <row r="59" spans="2:10" x14ac:dyDescent="0.25">
      <c r="B59" s="48" t="s">
        <v>76</v>
      </c>
      <c r="C59" s="50" t="s">
        <v>68</v>
      </c>
      <c r="I59" s="88"/>
      <c r="J59" s="88"/>
    </row>
    <row r="60" spans="2:10" x14ac:dyDescent="0.25">
      <c r="B60" s="48"/>
      <c r="C60" s="50"/>
      <c r="I60" s="88"/>
      <c r="J60" s="88"/>
    </row>
    <row r="61" spans="2:10" x14ac:dyDescent="0.25">
      <c r="B61" s="13" t="s">
        <v>492</v>
      </c>
    </row>
    <row r="63" spans="2:10" x14ac:dyDescent="0.25">
      <c r="B63" s="82" t="s">
        <v>19</v>
      </c>
      <c r="C63" s="82" t="s">
        <v>164</v>
      </c>
      <c r="D63" s="82" t="s">
        <v>165</v>
      </c>
      <c r="E63" s="340" t="s">
        <v>166</v>
      </c>
      <c r="F63" s="340"/>
      <c r="G63" s="340"/>
      <c r="H63" s="340"/>
      <c r="I63" s="340"/>
    </row>
    <row r="64" spans="2:10" x14ac:dyDescent="0.25">
      <c r="B64" s="42" t="s">
        <v>31</v>
      </c>
      <c r="C64" s="31">
        <f ca="1">PORTADA!C47</f>
        <v>2.9027237752123778</v>
      </c>
      <c r="D64" s="37" t="s">
        <v>30</v>
      </c>
      <c r="E64" s="337" t="s">
        <v>53</v>
      </c>
      <c r="F64" s="338"/>
      <c r="G64" s="338"/>
      <c r="H64" s="338"/>
      <c r="I64" s="339"/>
    </row>
    <row r="65" spans="2:9" x14ac:dyDescent="0.25">
      <c r="B65" s="42" t="s">
        <v>92</v>
      </c>
      <c r="C65" s="31">
        <f ca="1">PORTADA!C48</f>
        <v>24400.510117826263</v>
      </c>
      <c r="D65" s="37" t="s">
        <v>91</v>
      </c>
      <c r="E65" s="337" t="s">
        <v>162</v>
      </c>
      <c r="F65" s="338"/>
      <c r="G65" s="338"/>
      <c r="H65" s="338"/>
      <c r="I65" s="339"/>
    </row>
    <row r="66" spans="2:9" x14ac:dyDescent="0.25">
      <c r="B66" s="42" t="s">
        <v>61</v>
      </c>
      <c r="C66" s="31">
        <f ca="1">PORTADA!C49</f>
        <v>27.140362787773366</v>
      </c>
      <c r="D66" s="37" t="s">
        <v>62</v>
      </c>
      <c r="E66" s="337" t="s">
        <v>163</v>
      </c>
      <c r="F66" s="338"/>
      <c r="G66" s="338"/>
      <c r="H66" s="338"/>
      <c r="I66" s="339"/>
    </row>
    <row r="67" spans="2:9" x14ac:dyDescent="0.25">
      <c r="B67" s="42" t="s">
        <v>97</v>
      </c>
      <c r="C67" s="31">
        <f ca="1">PORTADA!C50</f>
        <v>2.040664903829839</v>
      </c>
      <c r="D67" s="37" t="s">
        <v>98</v>
      </c>
      <c r="E67" s="337" t="s">
        <v>99</v>
      </c>
      <c r="F67" s="338"/>
      <c r="G67" s="338"/>
      <c r="H67" s="338"/>
      <c r="I67" s="339"/>
    </row>
    <row r="68" spans="2:9" x14ac:dyDescent="0.25">
      <c r="B68" s="229" t="s">
        <v>447</v>
      </c>
      <c r="C68" s="31">
        <f ca="1">PORTADA!C51</f>
        <v>5.8208667585135743</v>
      </c>
      <c r="D68" s="234" t="s">
        <v>448</v>
      </c>
      <c r="E68" s="226" t="s">
        <v>449</v>
      </c>
      <c r="F68" s="227"/>
      <c r="G68" s="227"/>
      <c r="H68" s="227"/>
      <c r="I68" s="228"/>
    </row>
    <row r="69" spans="2:9" x14ac:dyDescent="0.25">
      <c r="B69" s="229" t="s">
        <v>464</v>
      </c>
      <c r="C69" s="31">
        <f ca="1">PORTADA!C52</f>
        <v>799414.49300898938</v>
      </c>
      <c r="D69" s="234" t="s">
        <v>448</v>
      </c>
      <c r="E69" s="226" t="s">
        <v>465</v>
      </c>
      <c r="F69" s="227"/>
      <c r="G69" s="227"/>
      <c r="H69" s="227"/>
      <c r="I69" s="228"/>
    </row>
    <row r="70" spans="2:9" x14ac:dyDescent="0.25">
      <c r="B70" s="229" t="s">
        <v>463</v>
      </c>
      <c r="C70" s="31">
        <f ca="1">PORTADA!C53</f>
        <v>35639.720379121776</v>
      </c>
      <c r="D70" s="234" t="s">
        <v>448</v>
      </c>
      <c r="E70" s="226" t="s">
        <v>466</v>
      </c>
      <c r="F70" s="227"/>
      <c r="G70" s="227"/>
      <c r="H70" s="227"/>
      <c r="I70" s="228"/>
    </row>
    <row r="71" spans="2:9" x14ac:dyDescent="0.25">
      <c r="B71" s="42" t="s">
        <v>47</v>
      </c>
      <c r="C71" s="31">
        <f ca="1">PORTADA!C54</f>
        <v>1573.4785661290784</v>
      </c>
      <c r="D71" s="37" t="s">
        <v>49</v>
      </c>
      <c r="E71" s="337" t="s">
        <v>48</v>
      </c>
      <c r="F71" s="338"/>
      <c r="G71" s="338"/>
      <c r="H71" s="338"/>
      <c r="I71" s="339"/>
    </row>
    <row r="72" spans="2:9" x14ac:dyDescent="0.25">
      <c r="B72" s="48" t="s">
        <v>76</v>
      </c>
      <c r="C72" s="50" t="s">
        <v>64</v>
      </c>
      <c r="D72" s="1"/>
    </row>
    <row r="74" spans="2:9" x14ac:dyDescent="0.25">
      <c r="B74" s="13" t="s">
        <v>493</v>
      </c>
      <c r="C74" s="79"/>
      <c r="D74" s="32"/>
    </row>
    <row r="75" spans="2:9" x14ac:dyDescent="0.25">
      <c r="B75" s="13"/>
    </row>
    <row r="76" spans="2:9" x14ac:dyDescent="0.25">
      <c r="B76" s="343" t="s">
        <v>52</v>
      </c>
      <c r="C76" s="333" t="s">
        <v>251</v>
      </c>
      <c r="D76" s="333"/>
      <c r="E76" s="333"/>
      <c r="F76" s="333"/>
      <c r="G76" s="333"/>
      <c r="H76" s="333"/>
      <c r="I76" s="333"/>
    </row>
    <row r="77" spans="2:9" x14ac:dyDescent="0.25">
      <c r="B77" s="344"/>
      <c r="C77" s="134">
        <f t="shared" ref="C77:I77" si="2">C21</f>
        <v>1</v>
      </c>
      <c r="D77" s="134">
        <f t="shared" si="2"/>
        <v>2</v>
      </c>
      <c r="E77" s="134">
        <f t="shared" si="2"/>
        <v>3</v>
      </c>
      <c r="F77" s="134">
        <f t="shared" si="2"/>
        <v>4</v>
      </c>
      <c r="G77" s="134">
        <f t="shared" si="2"/>
        <v>5</v>
      </c>
      <c r="H77" s="134">
        <f t="shared" si="2"/>
        <v>6</v>
      </c>
      <c r="I77" s="134">
        <f t="shared" si="2"/>
        <v>7</v>
      </c>
    </row>
    <row r="78" spans="2:9" x14ac:dyDescent="0.25">
      <c r="B78" s="82" t="s">
        <v>69</v>
      </c>
      <c r="C78" s="80">
        <f>'I. CIHH'!O7</f>
        <v>65.94</v>
      </c>
      <c r="D78" s="80">
        <f>'I. CIHH'!O20</f>
        <v>50.76</v>
      </c>
      <c r="E78" s="80">
        <f>'I. CIHH'!O33</f>
        <v>51.46</v>
      </c>
      <c r="F78" s="80">
        <f>'I. CIHH'!O46</f>
        <v>51.46</v>
      </c>
      <c r="G78" s="80">
        <f>'I. CIHH'!O59</f>
        <v>60.9</v>
      </c>
      <c r="H78" s="80">
        <f>'I. CIHH'!O72</f>
        <v>65.94</v>
      </c>
      <c r="I78" s="80">
        <f>'I. CIHH'!O85</f>
        <v>66.72</v>
      </c>
    </row>
    <row r="79" spans="2:9" x14ac:dyDescent="0.25">
      <c r="B79" s="82" t="s">
        <v>70</v>
      </c>
      <c r="C79" s="80">
        <f>'I. CIHH'!O8</f>
        <v>62.12</v>
      </c>
      <c r="D79" s="80">
        <f>'I. CIHH'!O21</f>
        <v>46.94</v>
      </c>
      <c r="E79" s="80">
        <f>'I. CIHH'!O34</f>
        <v>47.52</v>
      </c>
      <c r="F79" s="80">
        <f>'I. CIHH'!O47</f>
        <v>47.52</v>
      </c>
      <c r="G79" s="80">
        <f>'I. CIHH'!O60</f>
        <v>57.38</v>
      </c>
      <c r="H79" s="80">
        <f>'I. CIHH'!O73</f>
        <v>62.12</v>
      </c>
      <c r="I79" s="80">
        <f>'I. CIHH'!O86</f>
        <v>62.78</v>
      </c>
    </row>
    <row r="80" spans="2:9" x14ac:dyDescent="0.25">
      <c r="B80" s="82" t="s">
        <v>29</v>
      </c>
      <c r="C80" s="80">
        <f>'I. CIHH'!O9</f>
        <v>53.77</v>
      </c>
      <c r="D80" s="80">
        <f>'I. CIHH'!O22</f>
        <v>41.23</v>
      </c>
      <c r="E80" s="80">
        <f>'I. CIHH'!O35</f>
        <v>42.09</v>
      </c>
      <c r="F80" s="80">
        <f>'I. CIHH'!O48</f>
        <v>42.09</v>
      </c>
      <c r="G80" s="80">
        <f>'I. CIHH'!O61</f>
        <v>48.37</v>
      </c>
      <c r="H80" s="80">
        <f>'I. CIHH'!O74</f>
        <v>53.77</v>
      </c>
      <c r="I80" s="80">
        <f>'I. CIHH'!O87</f>
        <v>54.69</v>
      </c>
    </row>
    <row r="81" spans="2:9" x14ac:dyDescent="0.25">
      <c r="B81" s="82" t="s">
        <v>71</v>
      </c>
      <c r="C81" s="80">
        <f>'I. CIHH'!O10</f>
        <v>46.26</v>
      </c>
      <c r="D81" s="80">
        <f>'I. CIHH'!O23</f>
        <v>34.86</v>
      </c>
      <c r="E81" s="80">
        <f>'I. CIHH'!O36</f>
        <v>35.380000000000003</v>
      </c>
      <c r="F81" s="80">
        <f>'I. CIHH'!O49</f>
        <v>35.380000000000003</v>
      </c>
      <c r="G81" s="80">
        <f>'I. CIHH'!O62</f>
        <v>42.88</v>
      </c>
      <c r="H81" s="80">
        <f>'I. CIHH'!O75</f>
        <v>46.26</v>
      </c>
      <c r="I81" s="80">
        <f>'I. CIHH'!O88</f>
        <v>46.88</v>
      </c>
    </row>
    <row r="82" spans="2:9" x14ac:dyDescent="0.25">
      <c r="B82" s="82" t="s">
        <v>72</v>
      </c>
      <c r="C82" s="80">
        <f>'I. CIHH'!O11</f>
        <v>50.12</v>
      </c>
      <c r="D82" s="80">
        <f>'I. CIHH'!O24</f>
        <v>36.76</v>
      </c>
      <c r="E82" s="80">
        <f>'I. CIHH'!O37</f>
        <v>37.57</v>
      </c>
      <c r="F82" s="80">
        <f>'I. CIHH'!O50</f>
        <v>37.57</v>
      </c>
      <c r="G82" s="80">
        <f>'I. CIHH'!O63</f>
        <v>42.9</v>
      </c>
      <c r="H82" s="80">
        <f>'I. CIHH'!O76</f>
        <v>50.12</v>
      </c>
      <c r="I82" s="80">
        <f>'I. CIHH'!O89</f>
        <v>51.04</v>
      </c>
    </row>
    <row r="83" spans="2:9" x14ac:dyDescent="0.25">
      <c r="B83" s="82" t="s">
        <v>73</v>
      </c>
      <c r="C83" s="80">
        <f>'I. CIHH'!O12</f>
        <v>43.36</v>
      </c>
      <c r="D83" s="80">
        <f>'I. CIHH'!O25</f>
        <v>31.68</v>
      </c>
      <c r="E83" s="80">
        <f>'I. CIHH'!O38</f>
        <v>32.21</v>
      </c>
      <c r="F83" s="80">
        <f>'I. CIHH'!O51</f>
        <v>32.21</v>
      </c>
      <c r="G83" s="80">
        <f>'I. CIHH'!O64</f>
        <v>38.799999999999997</v>
      </c>
      <c r="H83" s="80">
        <f>'I. CIHH'!O77</f>
        <v>43.36</v>
      </c>
      <c r="I83" s="80">
        <f>'I. CIHH'!O90</f>
        <v>44</v>
      </c>
    </row>
    <row r="84" spans="2:9" x14ac:dyDescent="0.25">
      <c r="B84" s="82" t="s">
        <v>74</v>
      </c>
      <c r="C84" s="80">
        <f>'I. CIHH'!O13</f>
        <v>34</v>
      </c>
      <c r="D84" s="80">
        <f>'I. CIHH'!O26</f>
        <v>24.85</v>
      </c>
      <c r="E84" s="80">
        <f>'I. CIHH'!O39</f>
        <v>25.16</v>
      </c>
      <c r="F84" s="80">
        <f>'I. CIHH'!O52</f>
        <v>25.16</v>
      </c>
      <c r="G84" s="80">
        <f>'I. CIHH'!O65</f>
        <v>31.77</v>
      </c>
      <c r="H84" s="80">
        <f>'I. CIHH'!O78</f>
        <v>34</v>
      </c>
      <c r="I84" s="80">
        <f>'I. CIHH'!O91</f>
        <v>34.42</v>
      </c>
    </row>
    <row r="85" spans="2:9" x14ac:dyDescent="0.25">
      <c r="B85" s="82" t="s">
        <v>75</v>
      </c>
      <c r="C85" s="80">
        <f>'I. CIHH'!O14</f>
        <v>50.795714285714283</v>
      </c>
      <c r="D85" s="80">
        <f>'I. CIHH'!O27</f>
        <v>38.154285714285713</v>
      </c>
      <c r="E85" s="80">
        <f>'I. CIHH'!O40</f>
        <v>38.769999999999996</v>
      </c>
      <c r="F85" s="80">
        <f>'I. CIHH'!O53</f>
        <v>38.769999999999996</v>
      </c>
      <c r="G85" s="80">
        <f>'I. CIHH'!O66</f>
        <v>46.142857142857146</v>
      </c>
      <c r="H85" s="80">
        <f>'I. CIHH'!O79</f>
        <v>50.795714285714283</v>
      </c>
      <c r="I85" s="80">
        <f>'I. CIHH'!O92</f>
        <v>51.504285714285722</v>
      </c>
    </row>
    <row r="86" spans="2:9" x14ac:dyDescent="0.25">
      <c r="B86" s="53" t="s">
        <v>76</v>
      </c>
      <c r="C86" s="50" t="s">
        <v>111</v>
      </c>
      <c r="D86" s="46"/>
      <c r="E86" s="46"/>
      <c r="F86" s="46"/>
    </row>
    <row r="87" spans="2:9" x14ac:dyDescent="0.25">
      <c r="B87" s="53"/>
      <c r="C87" s="50"/>
      <c r="D87" s="46"/>
      <c r="E87" s="46"/>
      <c r="F87" s="46"/>
    </row>
    <row r="88" spans="2:9" x14ac:dyDescent="0.25">
      <c r="B88" s="13" t="s">
        <v>494</v>
      </c>
      <c r="C88" s="79"/>
      <c r="D88" s="32"/>
    </row>
    <row r="89" spans="2:9" x14ac:dyDescent="0.25">
      <c r="B89" s="53"/>
    </row>
    <row r="90" spans="2:9" x14ac:dyDescent="0.25">
      <c r="B90" s="345" t="s">
        <v>52</v>
      </c>
      <c r="C90" s="333" t="s">
        <v>252</v>
      </c>
      <c r="D90" s="333"/>
      <c r="E90" s="333"/>
      <c r="F90" s="333"/>
      <c r="G90" s="333"/>
      <c r="H90" s="333"/>
      <c r="I90" s="333"/>
    </row>
    <row r="91" spans="2:9" x14ac:dyDescent="0.25">
      <c r="B91" s="345"/>
      <c r="C91" s="134">
        <f t="shared" ref="C91:I91" si="3">C77</f>
        <v>1</v>
      </c>
      <c r="D91" s="134">
        <f t="shared" si="3"/>
        <v>2</v>
      </c>
      <c r="E91" s="134">
        <f t="shared" si="3"/>
        <v>3</v>
      </c>
      <c r="F91" s="134">
        <f t="shared" si="3"/>
        <v>4</v>
      </c>
      <c r="G91" s="134">
        <f t="shared" si="3"/>
        <v>5</v>
      </c>
      <c r="H91" s="134">
        <f t="shared" si="3"/>
        <v>6</v>
      </c>
      <c r="I91" s="134">
        <f t="shared" si="3"/>
        <v>7</v>
      </c>
    </row>
    <row r="92" spans="2:9" x14ac:dyDescent="0.25">
      <c r="B92" s="99" t="s">
        <v>69</v>
      </c>
      <c r="C92" s="80">
        <f>'II. CIOP '!L9</f>
        <v>4.8099999999999996</v>
      </c>
      <c r="D92" s="11">
        <f>'II. CIOP '!L22</f>
        <v>5.72</v>
      </c>
      <c r="E92" s="11">
        <f>'II. CIOP '!L35</f>
        <v>5.42</v>
      </c>
      <c r="F92" s="11">
        <f>'II. CIOP '!L48</f>
        <v>5.42</v>
      </c>
      <c r="G92" s="11">
        <f>'II. CIOP '!L61</f>
        <v>5.53</v>
      </c>
      <c r="H92" s="11">
        <f>'II. CIOP '!L74</f>
        <v>4.8099999999999996</v>
      </c>
      <c r="I92" s="11">
        <f>'II. CIOP '!L87</f>
        <v>4.58</v>
      </c>
    </row>
    <row r="93" spans="2:9" x14ac:dyDescent="0.25">
      <c r="B93" s="99" t="s">
        <v>70</v>
      </c>
      <c r="C93" s="80">
        <f>'II. CIOP '!L10</f>
        <v>17.18</v>
      </c>
      <c r="D93" s="11">
        <f>'II. CIOP '!L23</f>
        <v>21.74</v>
      </c>
      <c r="E93" s="11">
        <f>'II. CIOP '!L36</f>
        <v>21.01</v>
      </c>
      <c r="F93" s="11">
        <f>'II. CIOP '!L49</f>
        <v>21.01</v>
      </c>
      <c r="G93" s="11">
        <f>'II. CIOP '!L62</f>
        <v>18.59</v>
      </c>
      <c r="H93" s="11">
        <f>'II. CIOP '!L75</f>
        <v>17.18</v>
      </c>
      <c r="I93" s="11">
        <f>'II. CIOP '!L88</f>
        <v>16.559999999999999</v>
      </c>
    </row>
    <row r="94" spans="2:9" x14ac:dyDescent="0.25">
      <c r="B94" s="99" t="s">
        <v>29</v>
      </c>
      <c r="C94" s="80">
        <f>'II. CIOP '!L11</f>
        <v>10.66</v>
      </c>
      <c r="D94" s="11">
        <f>'II. CIOP '!L24</f>
        <v>14</v>
      </c>
      <c r="E94" s="11">
        <f>'II. CIOP '!L37</f>
        <v>13.08</v>
      </c>
      <c r="F94" s="11">
        <f>'II. CIOP '!L50</f>
        <v>13.08</v>
      </c>
      <c r="G94" s="11">
        <f>'II. CIOP '!L63</f>
        <v>12.4</v>
      </c>
      <c r="H94" s="11">
        <f>'II. CIOP '!L76</f>
        <v>10.66</v>
      </c>
      <c r="I94" s="11">
        <f>'II. CIOP '!L89</f>
        <v>9.76</v>
      </c>
    </row>
    <row r="95" spans="2:9" x14ac:dyDescent="0.25">
      <c r="B95" s="99" t="s">
        <v>71</v>
      </c>
      <c r="C95" s="80">
        <f>'II. CIOP '!L12</f>
        <v>15.12</v>
      </c>
      <c r="D95" s="11">
        <f>'II. CIOP '!L25</f>
        <v>20.04</v>
      </c>
      <c r="E95" s="11">
        <f>'II. CIOP '!L38</f>
        <v>19.09</v>
      </c>
      <c r="F95" s="11">
        <f>'II. CIOP '!L51</f>
        <v>19.09</v>
      </c>
      <c r="G95" s="11">
        <f>'II. CIOP '!L64</f>
        <v>16.91</v>
      </c>
      <c r="H95" s="11">
        <f>'II. CIOP '!L77</f>
        <v>15.12</v>
      </c>
      <c r="I95" s="11">
        <f>'II. CIOP '!L90</f>
        <v>14.2</v>
      </c>
    </row>
    <row r="96" spans="2:9" x14ac:dyDescent="0.25">
      <c r="B96" s="99" t="s">
        <v>72</v>
      </c>
      <c r="C96" s="80">
        <f>'II. CIOP '!L13</f>
        <v>19.96</v>
      </c>
      <c r="D96" s="11">
        <f>'II. CIOP '!L26</f>
        <v>25.93</v>
      </c>
      <c r="E96" s="11">
        <f>'II. CIOP '!L39</f>
        <v>24.59</v>
      </c>
      <c r="F96" s="11">
        <f>'II. CIOP '!L52</f>
        <v>24.59</v>
      </c>
      <c r="G96" s="11">
        <f>'II. CIOP '!L65</f>
        <v>22.69</v>
      </c>
      <c r="H96" s="11">
        <f>'II. CIOP '!L78</f>
        <v>19.96</v>
      </c>
      <c r="I96" s="11">
        <f>'II. CIOP '!L91</f>
        <v>18.670000000000002</v>
      </c>
    </row>
    <row r="97" spans="1:9" x14ac:dyDescent="0.25">
      <c r="B97" s="99" t="s">
        <v>73</v>
      </c>
      <c r="C97" s="80">
        <f>'II. CIOP '!L14</f>
        <v>23.5</v>
      </c>
      <c r="D97" s="11">
        <f>'II. CIOP '!L27</f>
        <v>30.91</v>
      </c>
      <c r="E97" s="11">
        <f>'II. CIOP '!L40</f>
        <v>29.46</v>
      </c>
      <c r="F97" s="11">
        <f>'II. CIOP '!L53</f>
        <v>29.46</v>
      </c>
      <c r="G97" s="11">
        <f>'II. CIOP '!L66</f>
        <v>26.4</v>
      </c>
      <c r="H97" s="11">
        <f>'II. CIOP '!L79</f>
        <v>23.5</v>
      </c>
      <c r="I97" s="11">
        <f>'II. CIOP '!L92</f>
        <v>22.1</v>
      </c>
    </row>
    <row r="98" spans="1:9" x14ac:dyDescent="0.25">
      <c r="B98" s="99" t="s">
        <v>74</v>
      </c>
      <c r="C98" s="80">
        <f>'II. CIOP '!L15</f>
        <v>31.16</v>
      </c>
      <c r="D98" s="11">
        <f>'II. CIOP '!L28</f>
        <v>41.4</v>
      </c>
      <c r="E98" s="11">
        <f>'II. CIOP '!L41</f>
        <v>39.64</v>
      </c>
      <c r="F98" s="11">
        <f>'II. CIOP '!L54</f>
        <v>39.64</v>
      </c>
      <c r="G98" s="11">
        <f>'II. CIOP '!L67</f>
        <v>34.61</v>
      </c>
      <c r="H98" s="11">
        <f>'II. CIOP '!L80</f>
        <v>31.16</v>
      </c>
      <c r="I98" s="11">
        <f>'II. CIOP '!L93</f>
        <v>29.48</v>
      </c>
    </row>
    <row r="99" spans="1:9" x14ac:dyDescent="0.25">
      <c r="B99" s="99" t="s">
        <v>75</v>
      </c>
      <c r="C99" s="80">
        <f>'II. CIOP '!L16</f>
        <v>17.484285714285711</v>
      </c>
      <c r="D99" s="11">
        <f>'II. CIOP '!L29</f>
        <v>22.819999999999997</v>
      </c>
      <c r="E99" s="11">
        <f>'II. CIOP '!L42</f>
        <v>21.755714285714287</v>
      </c>
      <c r="F99" s="11">
        <f>'II. CIOP '!L55</f>
        <v>21.755714285714287</v>
      </c>
      <c r="G99" s="11">
        <f>'II. CIOP '!L68</f>
        <v>19.59</v>
      </c>
      <c r="H99" s="11">
        <f>'II. CIOP '!L81</f>
        <v>17.484285714285711</v>
      </c>
      <c r="I99" s="11">
        <f>'II. CIOP '!L94</f>
        <v>16.478571428571431</v>
      </c>
    </row>
    <row r="100" spans="1:9" s="131" customFormat="1" x14ac:dyDescent="0.25">
      <c r="B100" s="53" t="s">
        <v>76</v>
      </c>
      <c r="C100" s="50" t="s">
        <v>111</v>
      </c>
      <c r="D100" s="46"/>
      <c r="E100" s="46"/>
      <c r="G100" s="130"/>
    </row>
    <row r="101" spans="1:9" s="131" customFormat="1" x14ac:dyDescent="0.25">
      <c r="B101" s="53"/>
      <c r="C101" s="50"/>
      <c r="D101" s="46"/>
      <c r="E101" s="46"/>
      <c r="G101" s="130"/>
    </row>
    <row r="102" spans="1:9" s="131" customFormat="1" x14ac:dyDescent="0.25">
      <c r="B102" s="13" t="s">
        <v>495</v>
      </c>
      <c r="C102" s="79"/>
      <c r="D102" s="32"/>
      <c r="E102"/>
      <c r="F102"/>
      <c r="G102"/>
      <c r="H102"/>
      <c r="I102"/>
    </row>
    <row r="103" spans="1:9" s="131" customFormat="1" x14ac:dyDescent="0.25">
      <c r="B103" s="53"/>
      <c r="C103"/>
      <c r="D103"/>
      <c r="E103"/>
      <c r="F103"/>
      <c r="G103"/>
      <c r="H103"/>
      <c r="I103"/>
    </row>
    <row r="104" spans="1:9" s="131" customFormat="1" x14ac:dyDescent="0.25">
      <c r="B104" s="345" t="s">
        <v>52</v>
      </c>
      <c r="C104" s="333" t="s">
        <v>469</v>
      </c>
      <c r="D104" s="333"/>
      <c r="E104" s="333"/>
      <c r="F104" s="333"/>
      <c r="G104" s="333"/>
      <c r="H104" s="333"/>
      <c r="I104" s="333"/>
    </row>
    <row r="105" spans="1:9" s="131" customFormat="1" x14ac:dyDescent="0.25">
      <c r="B105" s="345"/>
      <c r="C105" s="134">
        <f t="shared" ref="C105:I105" si="4">C91</f>
        <v>1</v>
      </c>
      <c r="D105" s="134">
        <f t="shared" si="4"/>
        <v>2</v>
      </c>
      <c r="E105" s="134">
        <f t="shared" si="4"/>
        <v>3</v>
      </c>
      <c r="F105" s="134">
        <f t="shared" si="4"/>
        <v>4</v>
      </c>
      <c r="G105" s="134">
        <f t="shared" si="4"/>
        <v>5</v>
      </c>
      <c r="H105" s="134">
        <f t="shared" si="4"/>
        <v>6</v>
      </c>
      <c r="I105" s="134">
        <f t="shared" si="4"/>
        <v>7</v>
      </c>
    </row>
    <row r="106" spans="1:9" s="131" customFormat="1" x14ac:dyDescent="0.25">
      <c r="B106" s="231" t="str">
        <f>B22</f>
        <v>Descripción</v>
      </c>
      <c r="C106" s="268" t="str">
        <f t="shared" ref="C106:I106" si="5">C22</f>
        <v>Toluca - Atlacomulco (57)</v>
      </c>
      <c r="D106" s="268" t="str">
        <f t="shared" si="5"/>
        <v>Atlacomulco - Acambay (57)</v>
      </c>
      <c r="E106" s="268" t="str">
        <f t="shared" si="5"/>
        <v>Atlacomulco - Acambay (40D)</v>
      </c>
      <c r="F106" s="268" t="str">
        <f t="shared" si="5"/>
        <v>Acambay - Palmillas (57)</v>
      </c>
      <c r="G106" s="268" t="str">
        <f t="shared" si="5"/>
        <v>Toluca - Jilotepec (57)</v>
      </c>
      <c r="H106" s="268" t="str">
        <f t="shared" si="5"/>
        <v>Acambay - Jilotepec (40D)</v>
      </c>
      <c r="I106" s="268" t="str">
        <f t="shared" si="5"/>
        <v>Jilotepec - Palmillas (57D)</v>
      </c>
    </row>
    <row r="107" spans="1:9" s="131" customFormat="1" x14ac:dyDescent="0.25">
      <c r="B107" s="234" t="s">
        <v>69</v>
      </c>
      <c r="C107" s="290">
        <f>PORTADA!C23</f>
        <v>68</v>
      </c>
      <c r="D107" s="290">
        <f>PORTADA!D23</f>
        <v>0</v>
      </c>
      <c r="E107" s="290">
        <f>PORTADA!E23</f>
        <v>25</v>
      </c>
      <c r="F107" s="290">
        <f>PORTADA!F23</f>
        <v>0</v>
      </c>
      <c r="G107" s="290">
        <f>PORTADA!G23</f>
        <v>34</v>
      </c>
      <c r="H107" s="290">
        <f>PORTADA!H23</f>
        <v>80</v>
      </c>
      <c r="I107" s="290">
        <f>PORTADA!I23</f>
        <v>77</v>
      </c>
    </row>
    <row r="108" spans="1:9" s="131" customFormat="1" x14ac:dyDescent="0.25">
      <c r="B108" s="234" t="s">
        <v>70</v>
      </c>
      <c r="C108" s="290">
        <f>PORTADA!C24</f>
        <v>163</v>
      </c>
      <c r="D108" s="290">
        <f>PORTADA!D24</f>
        <v>0</v>
      </c>
      <c r="E108" s="290">
        <f>PORTADA!E24</f>
        <v>35</v>
      </c>
      <c r="F108" s="290">
        <f>PORTADA!F24</f>
        <v>0</v>
      </c>
      <c r="G108" s="290">
        <f>PORTADA!G24</f>
        <v>81.5</v>
      </c>
      <c r="H108" s="290">
        <f>PORTADA!H24</f>
        <v>125</v>
      </c>
      <c r="I108" s="290">
        <f>PORTADA!I24</f>
        <v>154</v>
      </c>
    </row>
    <row r="109" spans="1:9" s="131" customFormat="1" x14ac:dyDescent="0.25">
      <c r="A109" s="131">
        <v>2</v>
      </c>
      <c r="B109" s="234" t="s">
        <v>29</v>
      </c>
      <c r="C109" s="290">
        <f>PORTADA!C25</f>
        <v>82</v>
      </c>
      <c r="D109" s="290">
        <f>PORTADA!D25</f>
        <v>0</v>
      </c>
      <c r="E109" s="290">
        <f>PORTADA!E25</f>
        <v>35</v>
      </c>
      <c r="F109" s="290">
        <f>PORTADA!F25</f>
        <v>0</v>
      </c>
      <c r="G109" s="290">
        <f>PORTADA!G25</f>
        <v>41</v>
      </c>
      <c r="H109" s="290">
        <f>PORTADA!H25</f>
        <v>125</v>
      </c>
      <c r="I109" s="290">
        <f>PORTADA!I25</f>
        <v>154</v>
      </c>
    </row>
    <row r="110" spans="1:9" s="131" customFormat="1" x14ac:dyDescent="0.25">
      <c r="A110" s="131">
        <v>3</v>
      </c>
      <c r="B110" s="234" t="s">
        <v>71</v>
      </c>
      <c r="C110" s="290">
        <f>PORTADA!C26</f>
        <v>142</v>
      </c>
      <c r="D110" s="290">
        <f>PORTADA!D26</f>
        <v>0</v>
      </c>
      <c r="E110" s="290">
        <f>PORTADA!E26</f>
        <v>35</v>
      </c>
      <c r="F110" s="290">
        <f>PORTADA!F26</f>
        <v>0</v>
      </c>
      <c r="G110" s="290">
        <f>PORTADA!G26</f>
        <v>71</v>
      </c>
      <c r="H110" s="290">
        <f>PORTADA!H26</f>
        <v>125</v>
      </c>
      <c r="I110" s="290">
        <f>PORTADA!I26</f>
        <v>154</v>
      </c>
    </row>
    <row r="111" spans="1:9" s="131" customFormat="1" x14ac:dyDescent="0.25">
      <c r="A111" s="131">
        <v>5</v>
      </c>
      <c r="B111" s="234" t="s">
        <v>72</v>
      </c>
      <c r="C111" s="290">
        <f>PORTADA!C27</f>
        <v>250</v>
      </c>
      <c r="D111" s="290">
        <f>PORTADA!D27</f>
        <v>0</v>
      </c>
      <c r="E111" s="290">
        <f>PORTADA!E27</f>
        <v>55</v>
      </c>
      <c r="F111" s="290">
        <f>PORTADA!F27</f>
        <v>0</v>
      </c>
      <c r="G111" s="290">
        <f>PORTADA!G27</f>
        <v>125</v>
      </c>
      <c r="H111" s="290">
        <f>PORTADA!H27</f>
        <v>180</v>
      </c>
      <c r="I111" s="290">
        <f>PORTADA!I27</f>
        <v>301</v>
      </c>
    </row>
    <row r="112" spans="1:9" s="131" customFormat="1" x14ac:dyDescent="0.25">
      <c r="A112" s="131">
        <v>6</v>
      </c>
      <c r="B112" s="234" t="s">
        <v>73</v>
      </c>
      <c r="C112" s="290">
        <f>PORTADA!C28</f>
        <v>310</v>
      </c>
      <c r="D112" s="290">
        <f>PORTADA!D28</f>
        <v>0</v>
      </c>
      <c r="E112" s="290">
        <f>PORTADA!E28</f>
        <v>55</v>
      </c>
      <c r="F112" s="290">
        <f>PORTADA!F28</f>
        <v>0</v>
      </c>
      <c r="G112" s="290">
        <f>PORTADA!G28</f>
        <v>155</v>
      </c>
      <c r="H112" s="290">
        <f>PORTADA!H28</f>
        <v>180</v>
      </c>
      <c r="I112" s="290">
        <f>PORTADA!I28</f>
        <v>436</v>
      </c>
    </row>
    <row r="113" spans="1:9" s="131" customFormat="1" x14ac:dyDescent="0.25">
      <c r="A113" s="131">
        <v>9</v>
      </c>
      <c r="B113" s="234" t="s">
        <v>74</v>
      </c>
      <c r="C113" s="290">
        <f>PORTADA!C29</f>
        <v>454</v>
      </c>
      <c r="D113" s="290">
        <f>PORTADA!D29</f>
        <v>0</v>
      </c>
      <c r="E113" s="290">
        <f>PORTADA!E29</f>
        <v>95</v>
      </c>
      <c r="F113" s="290">
        <f>PORTADA!F29</f>
        <v>0</v>
      </c>
      <c r="G113" s="290">
        <f>PORTADA!G29</f>
        <v>227</v>
      </c>
      <c r="H113" s="290">
        <f>PORTADA!H29</f>
        <v>295</v>
      </c>
      <c r="I113" s="290">
        <f>PORTADA!I29</f>
        <v>436</v>
      </c>
    </row>
    <row r="114" spans="1:9" s="131" customFormat="1" x14ac:dyDescent="0.25">
      <c r="B114" s="234" t="s">
        <v>75</v>
      </c>
      <c r="C114" s="290">
        <f>PORTADA!C30</f>
        <v>209.85714285714286</v>
      </c>
      <c r="D114" s="290">
        <f>PORTADA!D30</f>
        <v>0</v>
      </c>
      <c r="E114" s="290">
        <f>PORTADA!E30</f>
        <v>47.857142857142854</v>
      </c>
      <c r="F114" s="290">
        <f>PORTADA!F30</f>
        <v>0</v>
      </c>
      <c r="G114" s="290">
        <f>PORTADA!G30</f>
        <v>104.92857142857143</v>
      </c>
      <c r="H114" s="290">
        <f>PORTADA!H30</f>
        <v>158.57142857142858</v>
      </c>
      <c r="I114" s="290">
        <f>PORTADA!I30</f>
        <v>244.57142857142858</v>
      </c>
    </row>
    <row r="115" spans="1:9" s="131" customFormat="1" x14ac:dyDescent="0.25">
      <c r="B115" s="53" t="s">
        <v>76</v>
      </c>
      <c r="C115" s="266" t="s">
        <v>467</v>
      </c>
      <c r="D115" s="46"/>
      <c r="E115" s="46"/>
      <c r="G115" s="130"/>
    </row>
    <row r="116" spans="1:9" s="131" customFormat="1" x14ac:dyDescent="0.25">
      <c r="B116" s="53" t="s">
        <v>79</v>
      </c>
      <c r="C116" s="269" t="s">
        <v>468</v>
      </c>
      <c r="D116" s="46"/>
      <c r="E116" s="46"/>
      <c r="G116" s="130"/>
    </row>
    <row r="117" spans="1:9" s="131" customFormat="1" x14ac:dyDescent="0.25">
      <c r="B117" s="53"/>
      <c r="C117" s="50"/>
      <c r="D117" s="46"/>
      <c r="E117" s="46"/>
      <c r="G117" s="130"/>
    </row>
    <row r="118" spans="1:9" s="131" customFormat="1" x14ac:dyDescent="0.25">
      <c r="B118" s="133" t="s">
        <v>496</v>
      </c>
      <c r="C118" s="130"/>
      <c r="D118" s="130"/>
      <c r="E118" s="130"/>
      <c r="G118" s="130"/>
    </row>
    <row r="119" spans="1:9" s="131" customFormat="1" x14ac:dyDescent="0.25">
      <c r="C119" s="130"/>
      <c r="D119" s="130"/>
      <c r="E119" s="130"/>
      <c r="G119" s="130"/>
    </row>
    <row r="120" spans="1:9" ht="36.75" x14ac:dyDescent="0.25">
      <c r="B120" s="24" t="s">
        <v>52</v>
      </c>
      <c r="C120" s="89" t="s">
        <v>253</v>
      </c>
      <c r="D120" s="89" t="s">
        <v>254</v>
      </c>
      <c r="E120" s="89" t="s">
        <v>255</v>
      </c>
      <c r="F120" s="131"/>
      <c r="G120" s="130"/>
    </row>
    <row r="121" spans="1:9" x14ac:dyDescent="0.25">
      <c r="B121" s="99" t="s">
        <v>69</v>
      </c>
      <c r="C121" s="86">
        <v>16</v>
      </c>
      <c r="D121" s="83">
        <f>827586.7/4000</f>
        <v>206.89667499999999</v>
      </c>
      <c r="E121" s="21">
        <v>2.2799999999999998</v>
      </c>
      <c r="F121" s="131"/>
      <c r="G121" s="130"/>
    </row>
    <row r="122" spans="1:9" x14ac:dyDescent="0.25">
      <c r="B122" s="99" t="s">
        <v>70</v>
      </c>
      <c r="C122" s="21">
        <v>3.97</v>
      </c>
      <c r="D122" s="83">
        <f>1705522.8/4000</f>
        <v>426.38069999999999</v>
      </c>
      <c r="E122" s="21">
        <v>12.81</v>
      </c>
      <c r="F122" s="131"/>
      <c r="G122" s="130"/>
    </row>
    <row r="123" spans="1:9" x14ac:dyDescent="0.25">
      <c r="B123" s="99" t="s">
        <v>29</v>
      </c>
      <c r="C123" s="21">
        <v>4.58</v>
      </c>
      <c r="D123" s="83">
        <f>1195933.7/4000</f>
        <v>298.98342500000001</v>
      </c>
      <c r="E123" s="21">
        <v>1.37</v>
      </c>
      <c r="F123" s="131"/>
      <c r="G123" s="130"/>
    </row>
    <row r="124" spans="1:9" x14ac:dyDescent="0.25">
      <c r="B124" s="99" t="s">
        <v>71</v>
      </c>
      <c r="C124" s="21">
        <v>2.94</v>
      </c>
      <c r="D124" s="83">
        <f>3696129.1/4000</f>
        <v>924.03227500000003</v>
      </c>
      <c r="E124" s="21">
        <v>1.23</v>
      </c>
      <c r="F124" s="131"/>
      <c r="G124" s="130"/>
    </row>
    <row r="125" spans="1:9" x14ac:dyDescent="0.25">
      <c r="B125" s="99" t="s">
        <v>72</v>
      </c>
      <c r="C125" s="21">
        <v>2.0099999999999998</v>
      </c>
      <c r="D125" s="83">
        <f>3326516.2/4000</f>
        <v>831.62905000000001</v>
      </c>
      <c r="E125" s="21">
        <v>1.1399999999999999</v>
      </c>
      <c r="F125" s="131"/>
      <c r="G125" s="130"/>
    </row>
    <row r="126" spans="1:9" x14ac:dyDescent="0.25">
      <c r="B126" s="99" t="s">
        <v>73</v>
      </c>
      <c r="C126" s="21">
        <v>1.37</v>
      </c>
      <c r="D126" s="84">
        <f>5584993/4000</f>
        <v>1396.2482500000001</v>
      </c>
      <c r="E126" s="21">
        <v>1.1399999999999999</v>
      </c>
      <c r="F126" s="131"/>
      <c r="G126" s="130"/>
    </row>
    <row r="127" spans="1:9" x14ac:dyDescent="0.25">
      <c r="B127" s="99" t="s">
        <v>74</v>
      </c>
      <c r="C127" s="21">
        <v>1.7</v>
      </c>
      <c r="D127" s="84">
        <f>6143492.3/4000</f>
        <v>1535.873075</v>
      </c>
      <c r="E127" s="21">
        <v>1.0900000000000001</v>
      </c>
      <c r="F127" s="131"/>
      <c r="G127" s="130"/>
    </row>
    <row r="128" spans="1:9" x14ac:dyDescent="0.25">
      <c r="B128" s="99" t="s">
        <v>75</v>
      </c>
      <c r="C128" s="85">
        <f>AVERAGE(C121:C127)</f>
        <v>4.652857142857143</v>
      </c>
      <c r="D128" s="85">
        <f>AVERAGE(D121:D127)</f>
        <v>802.86334999999997</v>
      </c>
      <c r="E128" s="85">
        <f>E127</f>
        <v>1.0900000000000001</v>
      </c>
      <c r="F128" s="131"/>
      <c r="G128" s="130"/>
    </row>
    <row r="129" spans="2:17" x14ac:dyDescent="0.25">
      <c r="B129" s="53" t="s">
        <v>76</v>
      </c>
      <c r="C129" s="50" t="s">
        <v>111</v>
      </c>
      <c r="D129" s="46"/>
      <c r="E129" s="46"/>
      <c r="F129" s="46"/>
    </row>
    <row r="130" spans="2:17" x14ac:dyDescent="0.25">
      <c r="B130" s="53" t="s">
        <v>79</v>
      </c>
      <c r="C130" s="50" t="s">
        <v>82</v>
      </c>
      <c r="D130" s="46"/>
      <c r="E130" s="46"/>
      <c r="F130" s="46"/>
    </row>
    <row r="131" spans="2:17" x14ac:dyDescent="0.25">
      <c r="B131" s="53" t="s">
        <v>80</v>
      </c>
      <c r="C131" s="50" t="s">
        <v>81</v>
      </c>
      <c r="D131" s="46"/>
      <c r="E131" s="46"/>
      <c r="F131" s="46"/>
    </row>
    <row r="133" spans="2:17" x14ac:dyDescent="0.25">
      <c r="B133" s="62" t="s">
        <v>497</v>
      </c>
      <c r="C133" s="47"/>
      <c r="D133" s="62" t="s">
        <v>539</v>
      </c>
      <c r="E133" s="47"/>
      <c r="F133" s="47"/>
      <c r="G133" s="47"/>
      <c r="H133" s="47"/>
      <c r="I133" s="47"/>
    </row>
    <row r="134" spans="2:17" x14ac:dyDescent="0.25">
      <c r="B134" s="47"/>
      <c r="C134" s="47"/>
      <c r="D134" s="47"/>
      <c r="E134" s="47"/>
      <c r="F134" s="47"/>
      <c r="G134" s="47"/>
      <c r="H134" s="47"/>
      <c r="I134" s="47"/>
    </row>
    <row r="135" spans="2:17" x14ac:dyDescent="0.25">
      <c r="B135" s="63" t="s">
        <v>168</v>
      </c>
      <c r="C135" s="63" t="s">
        <v>169</v>
      </c>
      <c r="D135" s="63" t="str">
        <f>B32</f>
        <v>Ruta alterna 1</v>
      </c>
      <c r="E135" s="63" t="str">
        <f>B33</f>
        <v>Ruta alterna 2</v>
      </c>
      <c r="F135" s="63" t="str">
        <f>B34</f>
        <v>Ruta alterna 3</v>
      </c>
      <c r="G135" s="63" t="str">
        <f>B35</f>
        <v>Ruta alterna 4</v>
      </c>
      <c r="H135" s="63" t="str">
        <f>B36</f>
        <v>Ruta alterna 5</v>
      </c>
      <c r="I135" s="351" t="s">
        <v>170</v>
      </c>
      <c r="J135" s="351"/>
      <c r="K135" s="351"/>
      <c r="L135" s="351"/>
      <c r="M135" s="351"/>
      <c r="N135" s="126"/>
      <c r="O135" s="126"/>
      <c r="P135" s="126"/>
      <c r="Q135" s="126"/>
    </row>
    <row r="136" spans="2:17" x14ac:dyDescent="0.25">
      <c r="B136" s="63" t="s">
        <v>55</v>
      </c>
      <c r="C136" s="318" t="s">
        <v>65</v>
      </c>
      <c r="D136" s="311">
        <f ca="1">'I. CIHH'!S124</f>
        <v>1.406058604695404</v>
      </c>
      <c r="E136" s="312">
        <f ca="1">'I. CIHH'!S125</f>
        <v>-1.5927989703437555E-2</v>
      </c>
      <c r="F136" s="312">
        <f ca="1">'I. CIHH'!S126</f>
        <v>1.3901306149919663</v>
      </c>
      <c r="G136" s="312">
        <f ca="1">'I. CIHH'!S127</f>
        <v>2.08072462733639</v>
      </c>
      <c r="H136" s="312">
        <f ca="1">'I. CIHH'!S128</f>
        <v>0.4352537825339346</v>
      </c>
      <c r="I136" s="349" t="s">
        <v>172</v>
      </c>
      <c r="J136" s="349"/>
      <c r="K136" s="349"/>
      <c r="L136" s="349"/>
      <c r="M136" s="349"/>
      <c r="N136" s="127"/>
      <c r="O136" s="127"/>
      <c r="P136" s="127"/>
      <c r="Q136" s="127"/>
    </row>
    <row r="137" spans="2:17" x14ac:dyDescent="0.25">
      <c r="B137" s="63" t="s">
        <v>56</v>
      </c>
      <c r="C137" s="321" t="s">
        <v>147</v>
      </c>
      <c r="D137" s="311">
        <f>'II. CIOP '!U102</f>
        <v>17.746436467340036</v>
      </c>
      <c r="E137" s="312">
        <f>'II. CIOP '!U103</f>
        <v>-0.67255818396577116</v>
      </c>
      <c r="F137" s="312">
        <f>'II. CIOP '!U104</f>
        <v>17.073878283374263</v>
      </c>
      <c r="G137" s="312">
        <f>'II. CIOP '!U105</f>
        <v>26.967994080842018</v>
      </c>
      <c r="H137" s="312">
        <f>'II. CIOP '!U106</f>
        <v>9.2237042654985206</v>
      </c>
      <c r="I137" s="349" t="s">
        <v>173</v>
      </c>
      <c r="J137" s="349"/>
      <c r="K137" s="349"/>
      <c r="L137" s="349"/>
      <c r="M137" s="349"/>
      <c r="N137" s="127"/>
      <c r="O137" s="127"/>
      <c r="P137" s="127"/>
      <c r="Q137" s="127"/>
    </row>
    <row r="138" spans="2:17" x14ac:dyDescent="0.25">
      <c r="B138" s="63" t="s">
        <v>57</v>
      </c>
      <c r="C138" s="318" t="s">
        <v>318</v>
      </c>
      <c r="D138" s="311">
        <f ca="1">'III. CIPRO'!W147</f>
        <v>9.5294463179639664E-3</v>
      </c>
      <c r="E138" s="312">
        <f ca="1">'III. CIPRO'!W148</f>
        <v>0</v>
      </c>
      <c r="F138" s="312">
        <f ca="1">'III. CIPRO'!W149</f>
        <v>9.5294463179639664E-3</v>
      </c>
      <c r="G138" s="312">
        <f ca="1">'III. CIPRO'!W150</f>
        <v>1.5882410529939946E-2</v>
      </c>
      <c r="H138" s="312">
        <f ca="1">'III. CIPRO'!W151</f>
        <v>9.5294463179639664E-3</v>
      </c>
      <c r="I138" s="349" t="s">
        <v>174</v>
      </c>
      <c r="J138" s="349"/>
      <c r="K138" s="349"/>
      <c r="L138" s="349"/>
      <c r="M138" s="349"/>
      <c r="N138" s="127"/>
      <c r="O138" s="127"/>
      <c r="P138" s="127"/>
      <c r="Q138" s="127"/>
    </row>
    <row r="139" spans="2:17" x14ac:dyDescent="0.25">
      <c r="B139" s="63" t="s">
        <v>58</v>
      </c>
      <c r="C139" s="322" t="s">
        <v>319</v>
      </c>
      <c r="D139" s="311">
        <f ca="1">'IV. CIMA'!Q125</f>
        <v>1.5610776278851848</v>
      </c>
      <c r="E139" s="312">
        <f ca="1">'IV. CIMA'!Q126</f>
        <v>0</v>
      </c>
      <c r="F139" s="312">
        <f ca="1">'IV. CIMA'!Q127</f>
        <v>1.5610776278851848</v>
      </c>
      <c r="G139" s="312">
        <f ca="1">'IV. CIMA'!Q128</f>
        <v>1.5938483414476623</v>
      </c>
      <c r="H139" s="312">
        <f ca="1">'IV. CIMA'!Q129</f>
        <v>0.82522615061869609</v>
      </c>
      <c r="I139" s="349" t="s">
        <v>175</v>
      </c>
      <c r="J139" s="349"/>
      <c r="K139" s="349"/>
      <c r="L139" s="349"/>
      <c r="M139" s="349"/>
      <c r="N139" s="127"/>
      <c r="O139" s="127"/>
      <c r="P139" s="127"/>
      <c r="Q139" s="127"/>
    </row>
    <row r="140" spans="2:17" x14ac:dyDescent="0.25">
      <c r="B140" s="63" t="s">
        <v>59</v>
      </c>
      <c r="C140" s="319" t="s">
        <v>216</v>
      </c>
      <c r="D140" s="311">
        <f ca="1">'V. CIAX'!Q89</f>
        <v>5.2780805698926528E-2</v>
      </c>
      <c r="E140" s="312">
        <f ca="1">'V. CIAX'!Q90</f>
        <v>-5.8666745430986037E-4</v>
      </c>
      <c r="F140" s="312">
        <f ca="1">'V. CIAX'!Q91</f>
        <v>5.2194138244616675E-2</v>
      </c>
      <c r="G140" s="312">
        <f ca="1">'V. CIAX'!Q92</f>
        <v>1.6766804591094784E-2</v>
      </c>
      <c r="H140" s="312">
        <f ca="1">'V. CIAX'!Q93</f>
        <v>4.5737479112740696E-2</v>
      </c>
      <c r="I140" s="349" t="s">
        <v>176</v>
      </c>
      <c r="J140" s="349"/>
      <c r="K140" s="349"/>
      <c r="L140" s="349"/>
      <c r="M140" s="349"/>
      <c r="N140" s="127"/>
      <c r="O140" s="127"/>
      <c r="P140" s="127"/>
      <c r="Q140" s="127"/>
    </row>
    <row r="141" spans="2:17" x14ac:dyDescent="0.25">
      <c r="B141" s="63" t="s">
        <v>280</v>
      </c>
      <c r="C141" s="319" t="s">
        <v>321</v>
      </c>
      <c r="D141" s="311">
        <f ca="1">'VI. CIMU'!Q70</f>
        <v>0.73152444340900191</v>
      </c>
      <c r="E141" s="312">
        <f ca="1">'VI. CIMU'!Q71</f>
        <v>1.4125967570915882E-2</v>
      </c>
      <c r="F141" s="312">
        <f ca="1">'VI. CIMU'!Q72</f>
        <v>0.74565041097991791</v>
      </c>
      <c r="G141" s="312">
        <f ca="1">'VI. CIMU'!Q73</f>
        <v>0.49467725344134372</v>
      </c>
      <c r="H141" s="312">
        <f ca="1">'VI. CIMU'!Q74</f>
        <v>0.84378910603699298</v>
      </c>
      <c r="I141" s="349" t="s">
        <v>285</v>
      </c>
      <c r="J141" s="349"/>
      <c r="K141" s="349"/>
      <c r="L141" s="349"/>
      <c r="M141" s="349"/>
      <c r="N141" s="127"/>
      <c r="O141" s="127"/>
      <c r="P141" s="127"/>
      <c r="Q141" s="127"/>
    </row>
    <row r="142" spans="2:17" x14ac:dyDescent="0.25">
      <c r="B142" s="63" t="s">
        <v>281</v>
      </c>
      <c r="C142" s="319" t="s">
        <v>320</v>
      </c>
      <c r="D142" s="311">
        <f ca="1">'VII. CIHER'!Q70</f>
        <v>0.18692573600478257</v>
      </c>
      <c r="E142" s="312">
        <f ca="1">'VII. CIHER'!Q71</f>
        <v>2.9337810425922344E-4</v>
      </c>
      <c r="F142" s="312">
        <f ca="1">'VII. CIHER'!Q72</f>
        <v>0.18721911410904177</v>
      </c>
      <c r="G142" s="312">
        <f ca="1">'VII. CIHER'!Q73</f>
        <v>0.10882759240106947</v>
      </c>
      <c r="H142" s="312">
        <f ca="1">'VII. CIHER'!Q74</f>
        <v>0.21545785910070811</v>
      </c>
      <c r="I142" s="349" t="s">
        <v>284</v>
      </c>
      <c r="J142" s="349"/>
      <c r="K142" s="349"/>
      <c r="L142" s="349"/>
      <c r="M142" s="349"/>
      <c r="N142" s="127"/>
      <c r="O142" s="127"/>
      <c r="P142" s="127"/>
      <c r="Q142" s="127"/>
    </row>
    <row r="143" spans="2:17" x14ac:dyDescent="0.25">
      <c r="B143" s="63" t="s">
        <v>282</v>
      </c>
      <c r="C143" s="323" t="s">
        <v>322</v>
      </c>
      <c r="D143" s="311">
        <f>'VIII. CIPEA'!T107</f>
        <v>12.736411251240078</v>
      </c>
      <c r="E143" s="312">
        <f>'VIII. CIPEA'!T108</f>
        <v>1.8286757192460317</v>
      </c>
      <c r="F143" s="312">
        <f>'VIII. CIPEA'!T109</f>
        <v>14.565086970486114</v>
      </c>
      <c r="G143" s="312">
        <f>'VIII. CIPEA'!T110</f>
        <v>3.1022535168650802</v>
      </c>
      <c r="H143" s="312">
        <f>'VIII. CIPEA'!T111</f>
        <v>3.9070558519345244</v>
      </c>
      <c r="I143" s="349" t="s">
        <v>283</v>
      </c>
      <c r="J143" s="349"/>
      <c r="K143" s="349"/>
      <c r="L143" s="349"/>
      <c r="M143" s="349"/>
      <c r="N143" s="127"/>
      <c r="O143" s="127"/>
      <c r="P143" s="127"/>
      <c r="Q143" s="127"/>
    </row>
    <row r="144" spans="2:17" x14ac:dyDescent="0.25">
      <c r="B144" s="63" t="s">
        <v>60</v>
      </c>
      <c r="C144" s="320" t="s">
        <v>54</v>
      </c>
      <c r="D144" s="313">
        <f ca="1">SUM(D136:D143)</f>
        <v>34.430744382591371</v>
      </c>
      <c r="E144" s="313">
        <f ca="1">SUM(E136:E143)</f>
        <v>1.1540222237976883</v>
      </c>
      <c r="F144" s="313">
        <f t="shared" ref="F144:G144" ca="1" si="6">SUM(F136:F143)</f>
        <v>35.584766606389067</v>
      </c>
      <c r="G144" s="313">
        <f t="shared" ca="1" si="6"/>
        <v>34.380974627454606</v>
      </c>
      <c r="H144" s="313">
        <f ca="1">SUM(H136:H143)</f>
        <v>15.505753941154083</v>
      </c>
      <c r="I144" s="350" t="s">
        <v>171</v>
      </c>
      <c r="J144" s="350"/>
      <c r="K144" s="350"/>
      <c r="L144" s="350"/>
      <c r="M144" s="350"/>
      <c r="N144" s="128"/>
      <c r="O144" s="128"/>
      <c r="P144" s="128"/>
      <c r="Q144" s="128"/>
    </row>
    <row r="145" spans="2:10" x14ac:dyDescent="0.25">
      <c r="B145" s="64" t="s">
        <v>76</v>
      </c>
      <c r="C145" s="65" t="s">
        <v>167</v>
      </c>
      <c r="D145" s="47"/>
      <c r="E145" s="47"/>
      <c r="F145" s="47"/>
      <c r="G145" s="47"/>
      <c r="H145" s="47"/>
      <c r="I145" s="47"/>
    </row>
    <row r="146" spans="2:10" x14ac:dyDescent="0.25">
      <c r="B146" s="66" t="s">
        <v>76</v>
      </c>
      <c r="C146" s="67" t="s">
        <v>111</v>
      </c>
      <c r="D146" s="47"/>
      <c r="E146" s="47"/>
      <c r="F146" s="47"/>
      <c r="G146" s="47"/>
      <c r="H146" s="47"/>
      <c r="I146" s="47"/>
    </row>
    <row r="147" spans="2:10" x14ac:dyDescent="0.25">
      <c r="B147" s="62" t="s">
        <v>532</v>
      </c>
      <c r="E147" s="304" t="str">
        <f ca="1">IF(D144=MIN(D144:H144),D135,IF(E144=MIN(D144:H144),E135,IF(F144=MIN(D144:H144),F135,IF(G144=MIN(D144:H144),G135,IF(H144=MIN(D144:H144),H135,"ERROR")))))</f>
        <v>Ruta alterna 2</v>
      </c>
      <c r="F147" s="47"/>
      <c r="G147" s="47"/>
      <c r="H147" s="47"/>
      <c r="I147" s="47"/>
    </row>
    <row r="148" spans="2:10" x14ac:dyDescent="0.25">
      <c r="B148" s="62"/>
      <c r="E148" s="304"/>
      <c r="F148" s="47"/>
      <c r="G148" s="47"/>
      <c r="H148" s="47"/>
      <c r="I148" s="47"/>
    </row>
    <row r="149" spans="2:10" x14ac:dyDescent="0.25">
      <c r="B149" s="62" t="s">
        <v>540</v>
      </c>
      <c r="C149" s="47"/>
      <c r="D149" s="47"/>
      <c r="E149" s="47"/>
      <c r="F149" s="47"/>
      <c r="G149" s="47"/>
      <c r="H149" s="47"/>
      <c r="I149" s="47"/>
    </row>
    <row r="150" spans="2:10" x14ac:dyDescent="0.25">
      <c r="B150" s="47"/>
      <c r="C150" s="47"/>
      <c r="D150" s="47"/>
      <c r="E150" s="47"/>
      <c r="F150" s="47"/>
      <c r="G150" s="47"/>
      <c r="H150" s="47"/>
      <c r="I150" s="47"/>
    </row>
    <row r="151" spans="2:10" x14ac:dyDescent="0.25">
      <c r="B151" s="297" t="s">
        <v>168</v>
      </c>
      <c r="C151" s="297" t="s">
        <v>169</v>
      </c>
      <c r="D151" s="297" t="str">
        <f>D135</f>
        <v>Ruta alterna 1</v>
      </c>
      <c r="E151" s="297" t="str">
        <f t="shared" ref="E151:H151" si="7">E135</f>
        <v>Ruta alterna 2</v>
      </c>
      <c r="F151" s="297" t="str">
        <f t="shared" si="7"/>
        <v>Ruta alterna 3</v>
      </c>
      <c r="G151" s="297" t="str">
        <f t="shared" si="7"/>
        <v>Ruta alterna 4</v>
      </c>
      <c r="H151" s="297" t="str">
        <f t="shared" si="7"/>
        <v>Ruta alterna 5</v>
      </c>
    </row>
    <row r="152" spans="2:10" x14ac:dyDescent="0.25">
      <c r="B152" s="297" t="s">
        <v>55</v>
      </c>
      <c r="C152" s="297" t="s">
        <v>65</v>
      </c>
      <c r="D152" s="310">
        <f>'I. CIHH'!T124</f>
        <v>1.2479129304662315</v>
      </c>
      <c r="E152" s="310">
        <f>'I. CIHH'!T125</f>
        <v>0.99719161449556326</v>
      </c>
      <c r="F152" s="310">
        <f>'I. CIHH'!T126</f>
        <v>1.2451045449617948</v>
      </c>
      <c r="G152" s="310">
        <f>'I. CIHH'!T127</f>
        <v>1.3668684492478667</v>
      </c>
      <c r="H152" s="310">
        <f>'I. CIHH'!T128</f>
        <v>1.0767429183706572</v>
      </c>
      <c r="J152" s="305"/>
    </row>
    <row r="153" spans="2:10" x14ac:dyDescent="0.25">
      <c r="B153" s="297" t="s">
        <v>56</v>
      </c>
      <c r="C153" s="297" t="s">
        <v>147</v>
      </c>
      <c r="D153" s="310">
        <f>'II. CIOP '!V102</f>
        <v>1.283580581442167</v>
      </c>
      <c r="E153" s="310">
        <f>'II. CIOP '!V103</f>
        <v>0.98925280344514777</v>
      </c>
      <c r="F153" s="310">
        <f>'II. CIOP '!V104</f>
        <v>1.2728333848873148</v>
      </c>
      <c r="G153" s="310">
        <f>'II. CIOP '!V105</f>
        <v>1.4309371887617264</v>
      </c>
      <c r="H153" s="310">
        <f>'II. CIOP '!V106</f>
        <v>1.1473909099144748</v>
      </c>
    </row>
    <row r="154" spans="2:10" x14ac:dyDescent="0.25">
      <c r="B154" s="297" t="s">
        <v>57</v>
      </c>
      <c r="C154" s="297" t="s">
        <v>318</v>
      </c>
      <c r="D154" s="310">
        <f>'III. CIPRO'!X147</f>
        <v>1.03</v>
      </c>
      <c r="E154" s="310">
        <f>'III. CIPRO'!X148</f>
        <v>1</v>
      </c>
      <c r="F154" s="310">
        <f>'III. CIPRO'!X149</f>
        <v>1.03</v>
      </c>
      <c r="G154" s="310">
        <f>'III. CIPRO'!X150</f>
        <v>1.05</v>
      </c>
      <c r="H154" s="310">
        <f>'III. CIPRO'!X151</f>
        <v>1.03</v>
      </c>
    </row>
    <row r="155" spans="2:10" x14ac:dyDescent="0.25">
      <c r="B155" s="297" t="s">
        <v>58</v>
      </c>
      <c r="C155" s="297" t="s">
        <v>319</v>
      </c>
      <c r="D155" s="310">
        <f ca="1">'IV. CIMA'!R125</f>
        <v>1.427406199021207</v>
      </c>
      <c r="E155" s="310">
        <f ca="1">'IV. CIMA'!R126</f>
        <v>1</v>
      </c>
      <c r="F155" s="310">
        <f ca="1">'IV. CIMA'!R127</f>
        <v>1.427406199021207</v>
      </c>
      <c r="G155" s="310">
        <f ca="1">'IV. CIMA'!R128</f>
        <v>1.4363784665579125</v>
      </c>
      <c r="H155" s="310">
        <f ca="1">'IV. CIMA'!R129</f>
        <v>1.2259380097879284</v>
      </c>
    </row>
    <row r="156" spans="2:10" x14ac:dyDescent="0.25">
      <c r="B156" s="297" t="s">
        <v>59</v>
      </c>
      <c r="C156" s="297" t="s">
        <v>216</v>
      </c>
      <c r="D156" s="310">
        <f ca="1">'V. CIAX'!R89</f>
        <v>2.5707930043485581</v>
      </c>
      <c r="E156" s="310">
        <f ca="1">'V. CIAX'!R90</f>
        <v>0.98254037389338966</v>
      </c>
      <c r="F156" s="310">
        <f ca="1">'V. CIAX'!R91</f>
        <v>2.5533333782419478</v>
      </c>
      <c r="G156" s="310">
        <f ca="1">'V. CIAX'!R92</f>
        <v>1.4989916127314182</v>
      </c>
      <c r="H156" s="310">
        <f ca="1">'V. CIAX'!R93</f>
        <v>2.3611787708707253</v>
      </c>
    </row>
    <row r="157" spans="2:10" x14ac:dyDescent="0.25">
      <c r="B157" s="297" t="s">
        <v>280</v>
      </c>
      <c r="C157" s="297" t="s">
        <v>321</v>
      </c>
      <c r="D157" s="310">
        <f ca="1">'VI. CIMU'!R70</f>
        <v>3.9402905346505057</v>
      </c>
      <c r="E157" s="310">
        <f ca="1">'VI. CIMU'!R71</f>
        <v>1.0567779369722601</v>
      </c>
      <c r="F157" s="310">
        <f ca="1">'VI. CIMU'!R72</f>
        <v>3.9970684716227667</v>
      </c>
      <c r="G157" s="310">
        <f ca="1">'VI. CIMU'!R73</f>
        <v>2.9883065550377941</v>
      </c>
      <c r="H157" s="310">
        <f ca="1">'VI. CIMU'!R74</f>
        <v>4.3915273017536629</v>
      </c>
    </row>
    <row r="158" spans="2:10" x14ac:dyDescent="0.25">
      <c r="B158" s="297" t="s">
        <v>281</v>
      </c>
      <c r="C158" s="297" t="s">
        <v>320</v>
      </c>
      <c r="D158" s="310">
        <f ca="1">'VII. CIHER'!R70</f>
        <v>4.407031908323038</v>
      </c>
      <c r="E158" s="310">
        <f ca="1">'VII. CIHER'!R71</f>
        <v>1.0053473030722153</v>
      </c>
      <c r="F158" s="310">
        <f ca="1">'VII. CIHER'!R72</f>
        <v>4.4123792113952538</v>
      </c>
      <c r="G158" s="310">
        <f ca="1">'VII. CIHER'!R73</f>
        <v>2.9835635677632477</v>
      </c>
      <c r="H158" s="310">
        <f ca="1">'VII. CIHER'!R74</f>
        <v>4.9270772262001437</v>
      </c>
    </row>
    <row r="159" spans="2:10" x14ac:dyDescent="0.25">
      <c r="B159" s="297" t="s">
        <v>282</v>
      </c>
      <c r="C159" s="297" t="s">
        <v>322</v>
      </c>
      <c r="D159" s="310">
        <f>'VIII. CIPEA'!U107</f>
        <v>3.2238841760944439</v>
      </c>
      <c r="E159" s="310">
        <f>'VIII. CIPEA'!U108</f>
        <v>1.319302110698052</v>
      </c>
      <c r="F159" s="310">
        <f>'VIII. CIPEA'!U109</f>
        <v>3.5431862867924964</v>
      </c>
      <c r="G159" s="310">
        <f>'VIII. CIPEA'!U110</f>
        <v>1.5416794707942447</v>
      </c>
      <c r="H159" s="310">
        <f>'VIII. CIPEA'!U111</f>
        <v>1.6822047053001996</v>
      </c>
    </row>
    <row r="160" spans="2:10" x14ac:dyDescent="0.25">
      <c r="B160" s="62"/>
      <c r="D160" s="309"/>
      <c r="E160" s="309"/>
      <c r="F160" s="309"/>
      <c r="G160" s="309"/>
      <c r="H160" s="309"/>
    </row>
    <row r="161" spans="2:9" x14ac:dyDescent="0.25">
      <c r="B161" s="62" t="s">
        <v>538</v>
      </c>
      <c r="D161" s="300"/>
      <c r="E161" s="306"/>
      <c r="F161" s="41"/>
      <c r="G161" s="41"/>
      <c r="H161" s="41"/>
    </row>
    <row r="162" spans="2:9" x14ac:dyDescent="0.25">
      <c r="B162" s="62"/>
      <c r="D162" s="300"/>
      <c r="E162" s="306"/>
      <c r="F162" s="41"/>
      <c r="G162" s="41"/>
      <c r="H162" s="41"/>
    </row>
    <row r="163" spans="2:9" x14ac:dyDescent="0.25">
      <c r="B163" s="299" t="s">
        <v>168</v>
      </c>
      <c r="C163" s="299" t="s">
        <v>169</v>
      </c>
      <c r="D163" s="299" t="str">
        <f>D151</f>
        <v>Ruta alterna 1</v>
      </c>
      <c r="E163" s="299" t="str">
        <f t="shared" ref="E163:H163" si="8">E151</f>
        <v>Ruta alterna 2</v>
      </c>
      <c r="F163" s="299" t="str">
        <f t="shared" si="8"/>
        <v>Ruta alterna 3</v>
      </c>
      <c r="G163" s="299" t="str">
        <f t="shared" si="8"/>
        <v>Ruta alterna 4</v>
      </c>
      <c r="H163" s="299" t="str">
        <f t="shared" si="8"/>
        <v>Ruta alterna 5</v>
      </c>
    </row>
    <row r="164" spans="2:9" x14ac:dyDescent="0.25">
      <c r="B164" s="299" t="s">
        <v>55</v>
      </c>
      <c r="C164" s="299" t="s">
        <v>65</v>
      </c>
      <c r="D164" s="310">
        <f>1-D152</f>
        <v>-0.24791293046623153</v>
      </c>
      <c r="E164" s="310">
        <f t="shared" ref="E164:H164" si="9">1-E152</f>
        <v>2.808385504436739E-3</v>
      </c>
      <c r="F164" s="310">
        <f t="shared" si="9"/>
        <v>-0.24510454496179479</v>
      </c>
      <c r="G164" s="310">
        <f t="shared" si="9"/>
        <v>-0.36686844924786666</v>
      </c>
      <c r="H164" s="310">
        <f t="shared" si="9"/>
        <v>-7.6742918370657165E-2</v>
      </c>
    </row>
    <row r="165" spans="2:9" x14ac:dyDescent="0.25">
      <c r="B165" s="299" t="s">
        <v>56</v>
      </c>
      <c r="C165" s="299" t="s">
        <v>147</v>
      </c>
      <c r="D165" s="310">
        <f t="shared" ref="D165:H165" si="10">1-D153</f>
        <v>-0.28358058144216702</v>
      </c>
      <c r="E165" s="310">
        <f t="shared" si="10"/>
        <v>1.0747196554852234E-2</v>
      </c>
      <c r="F165" s="310">
        <f t="shared" si="10"/>
        <v>-0.27283338488731479</v>
      </c>
      <c r="G165" s="310">
        <f t="shared" si="10"/>
        <v>-0.43093718876172638</v>
      </c>
      <c r="H165" s="310">
        <f t="shared" si="10"/>
        <v>-0.14739090991447479</v>
      </c>
    </row>
    <row r="166" spans="2:9" x14ac:dyDescent="0.25">
      <c r="B166" s="299" t="s">
        <v>57</v>
      </c>
      <c r="C166" s="299" t="s">
        <v>318</v>
      </c>
      <c r="D166" s="310">
        <f t="shared" ref="D166:H166" si="11">1-D154</f>
        <v>-3.0000000000000027E-2</v>
      </c>
      <c r="E166" s="310">
        <f t="shared" si="11"/>
        <v>0</v>
      </c>
      <c r="F166" s="310">
        <f t="shared" si="11"/>
        <v>-3.0000000000000027E-2</v>
      </c>
      <c r="G166" s="310">
        <f t="shared" si="11"/>
        <v>-5.0000000000000044E-2</v>
      </c>
      <c r="H166" s="310">
        <f t="shared" si="11"/>
        <v>-3.0000000000000027E-2</v>
      </c>
    </row>
    <row r="167" spans="2:9" x14ac:dyDescent="0.25">
      <c r="B167" s="299" t="s">
        <v>58</v>
      </c>
      <c r="C167" s="299" t="s">
        <v>319</v>
      </c>
      <c r="D167" s="310">
        <f t="shared" ref="D167:H167" ca="1" si="12">1-D155</f>
        <v>-0.42740619902120702</v>
      </c>
      <c r="E167" s="310">
        <f t="shared" ca="1" si="12"/>
        <v>0</v>
      </c>
      <c r="F167" s="310">
        <f t="shared" ca="1" si="12"/>
        <v>-0.42740619902120702</v>
      </c>
      <c r="G167" s="310">
        <f t="shared" ca="1" si="12"/>
        <v>-0.43637846655791246</v>
      </c>
      <c r="H167" s="310">
        <f t="shared" ca="1" si="12"/>
        <v>-0.22593800978792844</v>
      </c>
    </row>
    <row r="168" spans="2:9" x14ac:dyDescent="0.25">
      <c r="B168" s="299" t="s">
        <v>59</v>
      </c>
      <c r="C168" s="299" t="s">
        <v>216</v>
      </c>
      <c r="D168" s="310">
        <f t="shared" ref="D168:H168" ca="1" si="13">1-D156</f>
        <v>-1.5707930043485581</v>
      </c>
      <c r="E168" s="310">
        <f t="shared" ca="1" si="13"/>
        <v>1.7459626106610338E-2</v>
      </c>
      <c r="F168" s="310">
        <f t="shared" ca="1" si="13"/>
        <v>-1.5533333782419478</v>
      </c>
      <c r="G168" s="310">
        <f t="shared" ca="1" si="13"/>
        <v>-0.49899161273141823</v>
      </c>
      <c r="H168" s="310">
        <f t="shared" ca="1" si="13"/>
        <v>-1.3611787708707253</v>
      </c>
    </row>
    <row r="169" spans="2:9" x14ac:dyDescent="0.25">
      <c r="B169" s="299" t="s">
        <v>280</v>
      </c>
      <c r="C169" s="299" t="s">
        <v>321</v>
      </c>
      <c r="D169" s="310">
        <f t="shared" ref="D169:H169" ca="1" si="14">1-D157</f>
        <v>-2.9402905346505057</v>
      </c>
      <c r="E169" s="310">
        <f t="shared" ca="1" si="14"/>
        <v>-5.6777936972260079E-2</v>
      </c>
      <c r="F169" s="310">
        <f t="shared" ca="1" si="14"/>
        <v>-2.9970684716227667</v>
      </c>
      <c r="G169" s="310">
        <f t="shared" ca="1" si="14"/>
        <v>-1.9883065550377941</v>
      </c>
      <c r="H169" s="310">
        <f t="shared" ca="1" si="14"/>
        <v>-3.3915273017536629</v>
      </c>
    </row>
    <row r="170" spans="2:9" x14ac:dyDescent="0.25">
      <c r="B170" s="299" t="s">
        <v>281</v>
      </c>
      <c r="C170" s="299" t="s">
        <v>320</v>
      </c>
      <c r="D170" s="310">
        <f t="shared" ref="D170:H170" ca="1" si="15">1-D158</f>
        <v>-3.407031908323038</v>
      </c>
      <c r="E170" s="310">
        <f t="shared" ca="1" si="15"/>
        <v>-5.3473030722153148E-3</v>
      </c>
      <c r="F170" s="310">
        <f t="shared" ca="1" si="15"/>
        <v>-3.4123792113952538</v>
      </c>
      <c r="G170" s="310">
        <f t="shared" ca="1" si="15"/>
        <v>-1.9835635677632477</v>
      </c>
      <c r="H170" s="310">
        <f t="shared" ca="1" si="15"/>
        <v>-3.9270772262001437</v>
      </c>
    </row>
    <row r="171" spans="2:9" x14ac:dyDescent="0.25">
      <c r="B171" s="299" t="s">
        <v>282</v>
      </c>
      <c r="C171" s="299" t="s">
        <v>322</v>
      </c>
      <c r="D171" s="310">
        <f t="shared" ref="D171:H171" si="16">1-D159</f>
        <v>-2.2238841760944439</v>
      </c>
      <c r="E171" s="310">
        <f t="shared" si="16"/>
        <v>-0.31930211069805203</v>
      </c>
      <c r="F171" s="310">
        <f t="shared" si="16"/>
        <v>-2.5431862867924964</v>
      </c>
      <c r="G171" s="310">
        <f t="shared" si="16"/>
        <v>-0.54167947079424472</v>
      </c>
      <c r="H171" s="310">
        <f t="shared" si="16"/>
        <v>-0.68220470530019961</v>
      </c>
    </row>
    <row r="172" spans="2:9" x14ac:dyDescent="0.25">
      <c r="B172" s="62"/>
      <c r="D172" s="308"/>
      <c r="E172" s="308"/>
      <c r="F172" s="308"/>
      <c r="G172" s="308"/>
      <c r="H172" s="308"/>
    </row>
    <row r="173" spans="2:9" x14ac:dyDescent="0.25">
      <c r="B173" s="62" t="s">
        <v>533</v>
      </c>
      <c r="C173" s="67"/>
      <c r="D173" s="41"/>
      <c r="E173" s="41"/>
      <c r="F173" s="41"/>
      <c r="G173" s="41"/>
      <c r="H173" s="41"/>
      <c r="I173" s="3"/>
    </row>
    <row r="174" spans="2:9" x14ac:dyDescent="0.25">
      <c r="B174" s="62"/>
      <c r="C174" s="67"/>
      <c r="D174" s="47"/>
      <c r="E174" s="47"/>
      <c r="F174" s="47"/>
      <c r="G174" s="47"/>
      <c r="H174" s="47"/>
      <c r="I174" s="307"/>
    </row>
    <row r="175" spans="2:9" x14ac:dyDescent="0.25">
      <c r="B175" s="62" t="s">
        <v>498</v>
      </c>
      <c r="C175" s="274" t="str">
        <f>PORTADA!C55</f>
        <v>PUENTE</v>
      </c>
      <c r="D175" s="47"/>
      <c r="E175" s="47"/>
      <c r="F175" s="47"/>
      <c r="G175" s="47"/>
      <c r="H175" s="47"/>
      <c r="I175" s="47"/>
    </row>
    <row r="176" spans="2:9" x14ac:dyDescent="0.25">
      <c r="B176" s="62" t="s">
        <v>25</v>
      </c>
      <c r="C176" s="46">
        <f ca="1">PORTADA!C56</f>
        <v>20.431973495349748</v>
      </c>
      <c r="D176" s="47" t="s">
        <v>18</v>
      </c>
      <c r="E176" s="348" t="s">
        <v>219</v>
      </c>
      <c r="F176" s="348"/>
      <c r="G176" s="348"/>
      <c r="H176" s="348"/>
      <c r="I176" s="348"/>
    </row>
    <row r="177" spans="2:9" x14ac:dyDescent="0.25">
      <c r="B177" s="62" t="s">
        <v>54</v>
      </c>
      <c r="C177" s="275">
        <f ca="1">$C$176*24*60*60*MIN(D144:H144)</f>
        <v>2037221.4087082604</v>
      </c>
      <c r="E177" s="275"/>
      <c r="F177" s="275"/>
      <c r="G177" s="275"/>
      <c r="H177" s="275"/>
      <c r="I177" s="47"/>
    </row>
    <row r="178" spans="2:9" x14ac:dyDescent="0.25">
      <c r="B178" s="62"/>
      <c r="C178" s="67"/>
      <c r="D178" s="47"/>
      <c r="E178" s="47"/>
      <c r="F178" s="47"/>
      <c r="G178" s="47"/>
      <c r="H178" s="47"/>
      <c r="I178" s="47"/>
    </row>
    <row r="179" spans="2:9" x14ac:dyDescent="0.25">
      <c r="B179" s="62" t="s">
        <v>534</v>
      </c>
      <c r="C179" s="47"/>
      <c r="D179" s="47"/>
      <c r="E179" s="47"/>
      <c r="F179" s="47"/>
      <c r="G179" s="47"/>
      <c r="H179" s="47"/>
      <c r="I179" s="47"/>
    </row>
    <row r="180" spans="2:9" x14ac:dyDescent="0.25">
      <c r="B180" s="47"/>
      <c r="C180" s="47"/>
      <c r="D180" s="47"/>
      <c r="E180" s="47"/>
      <c r="F180" s="47"/>
      <c r="G180" s="47"/>
      <c r="H180" s="47"/>
      <c r="I180" s="47"/>
    </row>
    <row r="181" spans="2:9" x14ac:dyDescent="0.25">
      <c r="B181" s="47" t="s">
        <v>155</v>
      </c>
      <c r="C181" s="68" t="s">
        <v>153</v>
      </c>
      <c r="D181" s="69">
        <f ca="1">PORTADA!C57</f>
        <v>65275346.305808291</v>
      </c>
      <c r="E181" s="47"/>
      <c r="F181" s="41" t="s">
        <v>156</v>
      </c>
      <c r="G181" s="47"/>
      <c r="H181" s="47"/>
      <c r="I181" s="47"/>
    </row>
    <row r="182" spans="2:9" x14ac:dyDescent="0.25">
      <c r="B182" s="47" t="s">
        <v>157</v>
      </c>
      <c r="C182" s="68" t="s">
        <v>154</v>
      </c>
      <c r="D182" s="54">
        <f ca="1">PORTADA!C58</f>
        <v>1.457616386433247E-4</v>
      </c>
      <c r="E182" s="70" t="s">
        <v>177</v>
      </c>
      <c r="F182" s="47"/>
      <c r="G182" s="47"/>
      <c r="H182" s="47"/>
      <c r="I182" s="47"/>
    </row>
    <row r="183" spans="2:9" x14ac:dyDescent="0.25">
      <c r="B183" s="47" t="s">
        <v>158</v>
      </c>
      <c r="C183" s="68" t="s">
        <v>160</v>
      </c>
      <c r="D183" s="41">
        <f ca="1">PORTADA!C59</f>
        <v>2.9906732087018812</v>
      </c>
      <c r="E183" s="47"/>
      <c r="F183" s="41" t="s">
        <v>202</v>
      </c>
      <c r="G183" s="47"/>
      <c r="H183" s="47"/>
      <c r="I183" s="47"/>
    </row>
    <row r="184" spans="2:9" x14ac:dyDescent="0.25">
      <c r="B184" s="47" t="s">
        <v>159</v>
      </c>
      <c r="C184" s="68" t="s">
        <v>66</v>
      </c>
      <c r="D184" s="71">
        <f ca="1">POWER((1+D182),D183)*D181</f>
        <v>65303805.617585532</v>
      </c>
      <c r="E184" s="47"/>
      <c r="F184" s="41" t="s">
        <v>161</v>
      </c>
      <c r="G184" s="47"/>
      <c r="H184" s="47"/>
      <c r="I184" s="47"/>
    </row>
    <row r="185" spans="2:9" x14ac:dyDescent="0.25">
      <c r="B185" s="47"/>
      <c r="C185" s="68"/>
      <c r="D185" s="47"/>
      <c r="E185" s="47"/>
      <c r="F185" s="47"/>
      <c r="G185" s="47"/>
      <c r="H185" s="47"/>
      <c r="I185" s="47"/>
    </row>
    <row r="186" spans="2:9" x14ac:dyDescent="0.25">
      <c r="B186" s="62" t="s">
        <v>535</v>
      </c>
      <c r="C186" s="68" t="s">
        <v>67</v>
      </c>
      <c r="D186" s="72">
        <f ca="1">C177/D184</f>
        <v>3.1196059547250354E-2</v>
      </c>
      <c r="E186" s="47"/>
      <c r="F186" s="47"/>
      <c r="G186" s="47"/>
      <c r="H186" s="47"/>
      <c r="I186" s="47"/>
    </row>
    <row r="187" spans="2:9" x14ac:dyDescent="0.25">
      <c r="B187" s="47"/>
      <c r="C187" s="47"/>
      <c r="D187" s="47"/>
      <c r="E187" s="47"/>
      <c r="F187" s="47"/>
      <c r="G187" s="47"/>
      <c r="H187" s="47"/>
      <c r="I187" s="47"/>
    </row>
    <row r="188" spans="2:9" x14ac:dyDescent="0.25">
      <c r="B188" s="62" t="s">
        <v>536</v>
      </c>
      <c r="C188" s="47"/>
      <c r="D188" s="47"/>
      <c r="E188" s="47"/>
      <c r="F188" s="47"/>
      <c r="G188" s="47"/>
      <c r="H188" s="47"/>
      <c r="I188" s="47"/>
    </row>
    <row r="189" spans="2:9" x14ac:dyDescent="0.25">
      <c r="B189" s="47"/>
      <c r="C189" s="47"/>
      <c r="D189" s="47"/>
      <c r="E189" s="47"/>
      <c r="F189" s="47"/>
      <c r="G189" s="47"/>
      <c r="H189" s="47"/>
      <c r="I189" s="47"/>
    </row>
    <row r="190" spans="2:9" x14ac:dyDescent="0.25">
      <c r="B190" s="47" t="s">
        <v>151</v>
      </c>
      <c r="C190" s="68" t="s">
        <v>87</v>
      </c>
      <c r="D190" s="73">
        <f ca="1">PORTADA!C60</f>
        <v>1.0773849312864052E-4</v>
      </c>
      <c r="E190" s="74" t="s">
        <v>76</v>
      </c>
      <c r="F190" s="47" t="s">
        <v>88</v>
      </c>
      <c r="G190" s="47"/>
      <c r="H190" s="47"/>
      <c r="I190" s="47"/>
    </row>
    <row r="191" spans="2:9" x14ac:dyDescent="0.25">
      <c r="B191" s="47"/>
      <c r="C191" s="47"/>
      <c r="D191" s="47"/>
      <c r="E191" s="279" t="s">
        <v>149</v>
      </c>
      <c r="F191" s="75">
        <f ca="1">POWER(D190,-1)</f>
        <v>9281.7336771732353</v>
      </c>
      <c r="G191" s="62" t="s">
        <v>150</v>
      </c>
      <c r="H191" s="62"/>
      <c r="I191" s="47"/>
    </row>
    <row r="192" spans="2:9" x14ac:dyDescent="0.25">
      <c r="B192" s="62" t="s">
        <v>537</v>
      </c>
      <c r="C192" s="47"/>
      <c r="D192" s="47"/>
      <c r="E192" s="47"/>
      <c r="F192" s="47"/>
      <c r="G192" s="47"/>
      <c r="H192" s="47"/>
      <c r="I192" s="47"/>
    </row>
    <row r="193" spans="2:9" x14ac:dyDescent="0.25">
      <c r="B193" s="47"/>
      <c r="C193" s="47"/>
      <c r="D193" s="47"/>
      <c r="E193" s="47"/>
      <c r="F193" s="47"/>
      <c r="G193" s="47"/>
      <c r="H193" s="47"/>
      <c r="I193" s="47"/>
    </row>
    <row r="194" spans="2:9" x14ac:dyDescent="0.25">
      <c r="B194" s="68" t="str">
        <f>B190</f>
        <v>PROB. DE FALLA</v>
      </c>
      <c r="C194" s="68" t="s">
        <v>87</v>
      </c>
      <c r="D194" s="276">
        <f ca="1">D190</f>
        <v>1.0773849312864052E-4</v>
      </c>
      <c r="E194" s="47"/>
      <c r="F194" s="47"/>
      <c r="G194" s="47"/>
      <c r="H194" s="47"/>
      <c r="I194" s="47"/>
    </row>
    <row r="195" spans="2:9" x14ac:dyDescent="0.25">
      <c r="B195" s="68" t="s">
        <v>152</v>
      </c>
      <c r="C195" s="68" t="s">
        <v>66</v>
      </c>
      <c r="D195" s="277">
        <f ca="1">D184</f>
        <v>65303805.617585532</v>
      </c>
      <c r="E195" s="47"/>
      <c r="F195" s="47"/>
      <c r="G195" s="47"/>
      <c r="H195" s="47"/>
      <c r="I195" s="47"/>
    </row>
    <row r="196" spans="2:9" x14ac:dyDescent="0.25">
      <c r="B196" s="68" t="str">
        <f>B144</f>
        <v>COSTO INDIRECTO</v>
      </c>
      <c r="C196" s="68" t="s">
        <v>54</v>
      </c>
      <c r="D196" s="277">
        <f ca="1">C177</f>
        <v>2037221.4087082604</v>
      </c>
      <c r="E196" s="47"/>
      <c r="F196" s="47"/>
      <c r="G196" s="47"/>
      <c r="H196" s="47"/>
      <c r="I196" s="47"/>
    </row>
    <row r="197" spans="2:9" x14ac:dyDescent="0.25">
      <c r="B197" s="68" t="s">
        <v>181</v>
      </c>
      <c r="C197" s="68" t="s">
        <v>28</v>
      </c>
      <c r="D197" s="277">
        <f ca="1">D196+D195</f>
        <v>67341027.026293799</v>
      </c>
      <c r="E197" s="47"/>
      <c r="F197" s="47"/>
      <c r="G197" s="47"/>
      <c r="H197" s="47"/>
      <c r="I197" s="47"/>
    </row>
    <row r="198" spans="2:9" x14ac:dyDescent="0.25">
      <c r="B198" s="68"/>
      <c r="C198" s="68"/>
      <c r="D198" s="47"/>
      <c r="E198" s="47"/>
      <c r="F198" s="47"/>
      <c r="G198" s="47"/>
      <c r="H198" s="47"/>
      <c r="I198" s="47"/>
    </row>
    <row r="199" spans="2:9" x14ac:dyDescent="0.25">
      <c r="B199" s="68" t="s">
        <v>205</v>
      </c>
      <c r="C199" s="68" t="s">
        <v>89</v>
      </c>
      <c r="D199" s="71">
        <f ca="1">D197*D194</f>
        <v>7255.2207775479501</v>
      </c>
      <c r="E199" s="47" t="s">
        <v>206</v>
      </c>
      <c r="F199" s="47"/>
      <c r="G199" s="47"/>
      <c r="H199" s="47"/>
      <c r="I199" s="47"/>
    </row>
    <row r="201" spans="2:9" x14ac:dyDescent="0.25">
      <c r="B201" s="13" t="s">
        <v>178</v>
      </c>
    </row>
    <row r="202" spans="2:9" x14ac:dyDescent="0.25">
      <c r="B202" t="s">
        <v>500</v>
      </c>
    </row>
    <row r="203" spans="2:9" x14ac:dyDescent="0.25">
      <c r="B203" t="s">
        <v>183</v>
      </c>
      <c r="E203" s="278">
        <f ca="1">C176</f>
        <v>20.431973495349748</v>
      </c>
      <c r="F203" t="s">
        <v>18</v>
      </c>
    </row>
    <row r="204" spans="2:9" x14ac:dyDescent="0.25">
      <c r="D204" s="1"/>
    </row>
    <row r="205" spans="2:9" x14ac:dyDescent="0.25">
      <c r="B205" t="s">
        <v>203</v>
      </c>
      <c r="D205" s="1"/>
    </row>
    <row r="206" spans="2:9" x14ac:dyDescent="0.25">
      <c r="B206" s="13" t="str">
        <f>B195</f>
        <v>COSTO DIRECTO</v>
      </c>
      <c r="C206" s="6" t="str">
        <f t="shared" ref="C206:D206" si="17">C195</f>
        <v>CD</v>
      </c>
      <c r="D206" s="17">
        <f t="shared" ca="1" si="17"/>
        <v>65303805.617585532</v>
      </c>
    </row>
    <row r="207" spans="2:9" x14ac:dyDescent="0.25">
      <c r="B207" s="13"/>
      <c r="C207" s="6"/>
      <c r="D207" s="17"/>
    </row>
    <row r="208" spans="2:9" x14ac:dyDescent="0.25">
      <c r="B208" t="s">
        <v>191</v>
      </c>
      <c r="D208" s="1"/>
    </row>
    <row r="209" spans="2:7" x14ac:dyDescent="0.25">
      <c r="B209" s="13" t="s">
        <v>60</v>
      </c>
      <c r="C209" s="6" t="s">
        <v>54</v>
      </c>
      <c r="D209" s="281">
        <f ca="1">C177</f>
        <v>2037221.4087082604</v>
      </c>
      <c r="E209" s="280" t="s">
        <v>201</v>
      </c>
      <c r="F209" s="1">
        <f ca="1">E203</f>
        <v>20.431973495349748</v>
      </c>
      <c r="G209" t="s">
        <v>180</v>
      </c>
    </row>
    <row r="210" spans="2:7" x14ac:dyDescent="0.25">
      <c r="B210" s="13"/>
      <c r="C210" s="6" t="s">
        <v>194</v>
      </c>
      <c r="D210" s="281">
        <f ca="1">D209/F209</f>
        <v>99707.520136120263</v>
      </c>
      <c r="E210" s="280" t="s">
        <v>193</v>
      </c>
    </row>
    <row r="211" spans="2:7" x14ac:dyDescent="0.25">
      <c r="B211" s="13"/>
      <c r="C211" s="6" t="s">
        <v>195</v>
      </c>
      <c r="D211" s="281">
        <f ca="1">D210/24</f>
        <v>4154.4800056716776</v>
      </c>
      <c r="E211" s="280" t="s">
        <v>192</v>
      </c>
    </row>
    <row r="212" spans="2:7" x14ac:dyDescent="0.25">
      <c r="B212" s="13"/>
      <c r="C212" s="6" t="s">
        <v>502</v>
      </c>
      <c r="D212" s="281">
        <f ca="1">D211/60</f>
        <v>69.241333427861292</v>
      </c>
      <c r="E212" s="280" t="s">
        <v>503</v>
      </c>
    </row>
    <row r="213" spans="2:7" x14ac:dyDescent="0.25">
      <c r="B213" s="13"/>
      <c r="C213" s="6" t="s">
        <v>501</v>
      </c>
      <c r="D213" s="281">
        <f ca="1">D212/60</f>
        <v>1.1540222237976883</v>
      </c>
      <c r="E213" s="280" t="s">
        <v>505</v>
      </c>
    </row>
    <row r="214" spans="2:7" x14ac:dyDescent="0.25">
      <c r="B214" s="61" t="s">
        <v>504</v>
      </c>
      <c r="C214" s="6"/>
      <c r="D214" s="15"/>
    </row>
    <row r="215" spans="2:7" x14ac:dyDescent="0.25">
      <c r="B215" s="61"/>
      <c r="C215" s="6"/>
      <c r="D215" s="15"/>
    </row>
    <row r="216" spans="2:7" x14ac:dyDescent="0.25">
      <c r="B216" s="49" t="s">
        <v>197</v>
      </c>
      <c r="C216" s="6"/>
      <c r="D216" s="15"/>
    </row>
    <row r="217" spans="2:7" x14ac:dyDescent="0.25">
      <c r="B217" s="13" t="str">
        <f>B197</f>
        <v>CONSECUENCIAS</v>
      </c>
      <c r="C217" s="6" t="str">
        <f t="shared" ref="C217:D217" si="18">C197</f>
        <v>C</v>
      </c>
      <c r="D217" s="60">
        <f t="shared" ca="1" si="18"/>
        <v>67341027.026293799</v>
      </c>
    </row>
    <row r="218" spans="2:7" x14ac:dyDescent="0.25">
      <c r="B218" s="13"/>
      <c r="C218" s="6"/>
      <c r="D218" s="60"/>
    </row>
    <row r="219" spans="2:7" x14ac:dyDescent="0.25">
      <c r="B219" s="49" t="s">
        <v>196</v>
      </c>
      <c r="C219" s="6"/>
      <c r="E219" s="1">
        <f ca="1">F209</f>
        <v>20.431973495349748</v>
      </c>
      <c r="F219" t="s">
        <v>198</v>
      </c>
    </row>
    <row r="220" spans="2:7" x14ac:dyDescent="0.25">
      <c r="B220" s="13"/>
      <c r="C220" s="6" t="s">
        <v>32</v>
      </c>
      <c r="D220" s="15">
        <f ca="1">D217/E219</f>
        <v>3295865.0343600144</v>
      </c>
      <c r="E220" t="s">
        <v>199</v>
      </c>
    </row>
    <row r="221" spans="2:7" x14ac:dyDescent="0.25">
      <c r="B221" s="13"/>
      <c r="C221" s="6" t="s">
        <v>182</v>
      </c>
      <c r="D221" s="15">
        <f ca="1">D220/24</f>
        <v>137327.70976500059</v>
      </c>
      <c r="E221" t="s">
        <v>200</v>
      </c>
    </row>
    <row r="222" spans="2:7" x14ac:dyDescent="0.25">
      <c r="B222" s="13"/>
      <c r="C222" s="6" t="s">
        <v>506</v>
      </c>
      <c r="D222" s="15">
        <f ca="1">D221/60</f>
        <v>2288.7951627500097</v>
      </c>
      <c r="E222" t="s">
        <v>508</v>
      </c>
    </row>
    <row r="223" spans="2:7" x14ac:dyDescent="0.25">
      <c r="B223" s="13"/>
      <c r="C223" s="6" t="s">
        <v>507</v>
      </c>
      <c r="D223" s="15">
        <f ca="1">D222/60</f>
        <v>38.146586045833494</v>
      </c>
      <c r="E223" t="s">
        <v>509</v>
      </c>
    </row>
    <row r="224" spans="2:7" x14ac:dyDescent="0.25">
      <c r="B224" s="13"/>
      <c r="C224" s="6"/>
    </row>
    <row r="225" spans="2:7" x14ac:dyDescent="0.25">
      <c r="B225" s="49" t="s">
        <v>207</v>
      </c>
      <c r="C225" s="6"/>
    </row>
    <row r="226" spans="2:7" x14ac:dyDescent="0.25">
      <c r="B226" s="192" t="s">
        <v>185</v>
      </c>
      <c r="C226" s="6" t="s">
        <v>184</v>
      </c>
      <c r="D226" s="16">
        <f ca="1">PORTADA!C61</f>
        <v>269204.17935903068</v>
      </c>
      <c r="E226" t="s">
        <v>188</v>
      </c>
    </row>
    <row r="227" spans="2:7" x14ac:dyDescent="0.25">
      <c r="B227" s="13" t="s">
        <v>204</v>
      </c>
      <c r="C227" s="13"/>
      <c r="D227" s="2">
        <f ca="1">D199/D226</f>
        <v>2.6950624595882849E-2</v>
      </c>
      <c r="E227" t="s">
        <v>187</v>
      </c>
    </row>
    <row r="228" spans="2:7" x14ac:dyDescent="0.25">
      <c r="B228" s="13"/>
      <c r="C228" s="13"/>
    </row>
    <row r="229" spans="2:7" x14ac:dyDescent="0.25">
      <c r="B229" s="13" t="s">
        <v>186</v>
      </c>
      <c r="C229" s="49" t="s">
        <v>190</v>
      </c>
      <c r="D229" s="5" t="str">
        <f ca="1">IF(D199/D226&lt;1,"menor a 1, por lo que no hay mayor problema si se le da prioridad al mantenimiento de otro puente","mayor a 1, por lo que lo más recomendable es darle mantenimiento al puente vehicular de lo contrario")</f>
        <v>menor a 1, por lo que no hay mayor problema si se le da prioridad al mantenimiento de otro puente</v>
      </c>
    </row>
    <row r="230" spans="2:7" x14ac:dyDescent="0.25">
      <c r="B230" t="s">
        <v>189</v>
      </c>
      <c r="D230" s="59">
        <f ca="1">D221</f>
        <v>137327.70976500059</v>
      </c>
      <c r="E230" s="5" t="s">
        <v>179</v>
      </c>
      <c r="F230" s="5">
        <f ca="1">F209</f>
        <v>20.431973495349748</v>
      </c>
      <c r="G230" t="s">
        <v>208</v>
      </c>
    </row>
    <row r="231" spans="2:7" x14ac:dyDescent="0.25">
      <c r="B231" s="49" t="s">
        <v>209</v>
      </c>
    </row>
    <row r="232" spans="2:7" x14ac:dyDescent="0.25">
      <c r="B232" s="13" t="s">
        <v>210</v>
      </c>
    </row>
    <row r="233" spans="2:7" x14ac:dyDescent="0.25">
      <c r="B233" s="49" t="s">
        <v>211</v>
      </c>
    </row>
    <row r="234" spans="2:7" x14ac:dyDescent="0.25">
      <c r="B234" t="s">
        <v>212</v>
      </c>
    </row>
    <row r="235" spans="2:7" x14ac:dyDescent="0.25">
      <c r="B235" t="s">
        <v>213</v>
      </c>
    </row>
    <row r="236" spans="2:7" x14ac:dyDescent="0.25">
      <c r="B236" t="s">
        <v>214</v>
      </c>
    </row>
  </sheetData>
  <mergeCells count="25">
    <mergeCell ref="I139:M139"/>
    <mergeCell ref="B40:J40"/>
    <mergeCell ref="B54:I54"/>
    <mergeCell ref="B76:B77"/>
    <mergeCell ref="B90:B91"/>
    <mergeCell ref="C76:I76"/>
    <mergeCell ref="C90:I90"/>
    <mergeCell ref="B104:B105"/>
    <mergeCell ref="C104:I104"/>
    <mergeCell ref="E176:I176"/>
    <mergeCell ref="I140:M140"/>
    <mergeCell ref="I138:M138"/>
    <mergeCell ref="I144:M144"/>
    <mergeCell ref="E63:I63"/>
    <mergeCell ref="E64:I64"/>
    <mergeCell ref="E65:I65"/>
    <mergeCell ref="E71:I71"/>
    <mergeCell ref="E66:I66"/>
    <mergeCell ref="E67:I67"/>
    <mergeCell ref="I135:M135"/>
    <mergeCell ref="I136:M136"/>
    <mergeCell ref="I137:M137"/>
    <mergeCell ref="I141:M141"/>
    <mergeCell ref="I142:M142"/>
    <mergeCell ref="I143:M143"/>
  </mergeCells>
  <conditionalFormatting sqref="D164:H171">
    <cfRule type="cellIs" dxfId="8" priority="3" operator="greaterThan">
      <formula>0</formula>
    </cfRule>
    <cfRule type="cellIs" dxfId="7" priority="10" operator="equal">
      <formula>0</formula>
    </cfRule>
    <cfRule type="cellIs" dxfId="6" priority="12" operator="lessThan">
      <formula>0</formula>
    </cfRule>
  </conditionalFormatting>
  <conditionalFormatting sqref="D152:H159">
    <cfRule type="cellIs" dxfId="5" priority="4" operator="equal">
      <formula>1</formula>
    </cfRule>
    <cfRule type="cellIs" dxfId="4" priority="6" operator="lessThan">
      <formula>1</formula>
    </cfRule>
    <cfRule type="cellIs" dxfId="3" priority="11" operator="greaterThan">
      <formula>1</formula>
    </cfRule>
  </conditionalFormatting>
  <conditionalFormatting sqref="D136:H144">
    <cfRule type="cellIs" dxfId="2" priority="1" operator="greaterThan">
      <formula>0</formula>
    </cfRule>
    <cfRule type="cellIs" dxfId="1" priority="2" operator="lessThan">
      <formula>0</formula>
    </cfRule>
    <cfRule type="cellIs" dxfId="0" priority="7" operator="equal">
      <formula>0</formula>
    </cfRule>
  </conditionalFormatting>
  <hyperlinks>
    <hyperlink ref="C131" r:id="rId1"/>
    <hyperlink ref="C130" r:id="rId2"/>
    <hyperlink ref="C86" r:id="rId3"/>
    <hyperlink ref="C100" r:id="rId4"/>
    <hyperlink ref="C129" r:id="rId5"/>
    <hyperlink ref="C59" r:id="rId6"/>
    <hyperlink ref="C115" r:id="rId7"/>
    <hyperlink ref="C72" r:id="rId8"/>
    <hyperlink ref="C50" r:id="rId9"/>
    <hyperlink ref="C146" r:id="rId10"/>
  </hyperlinks>
  <pageMargins left="0.25" right="0.25" top="0.75" bottom="0.75" header="0.3" footer="0.3"/>
  <pageSetup scale="93" fitToHeight="0" orientation="landscape" horizontalDpi="1200" verticalDpi="1200" r:id="rId11"/>
  <drawing r:id="rId12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LISTA!$C$10:$C$14</xm:f>
          </x14:formula1>
          <xm:sqref>C37:H37 I30:I37</xm:sqref>
        </x14:dataValidation>
        <x14:dataValidation type="list" allowBlank="1" showInputMessage="1" showErrorMessage="1">
          <x14:formula1>
            <xm:f>LISTA!$A$10:$A$17</xm:f>
          </x14:formula1>
          <xm:sqref>C31:F36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>
    <pageSetUpPr fitToPage="1"/>
  </sheetPr>
  <dimension ref="B1:U145"/>
  <sheetViews>
    <sheetView zoomScale="85" zoomScaleNormal="85" workbookViewId="0">
      <selection activeCell="C10" sqref="C10"/>
    </sheetView>
  </sheetViews>
  <sheetFormatPr baseColWidth="10" defaultColWidth="11.5703125" defaultRowHeight="15" x14ac:dyDescent="0.25"/>
  <cols>
    <col min="1" max="1" width="11.5703125" style="101"/>
    <col min="2" max="2" width="11.85546875" style="106" customWidth="1"/>
    <col min="3" max="3" width="15.85546875" style="101" customWidth="1"/>
    <col min="4" max="4" width="2.140625" style="101" customWidth="1"/>
    <col min="5" max="10" width="17.28515625" style="101" customWidth="1"/>
    <col min="11" max="14" width="17.28515625" style="101" hidden="1" customWidth="1"/>
    <col min="15" max="16" width="17.28515625" style="101" customWidth="1"/>
    <col min="17" max="17" width="16.28515625" style="101" bestFit="1" customWidth="1"/>
    <col min="18" max="16384" width="11.5703125" style="101"/>
  </cols>
  <sheetData>
    <row r="1" spans="2:18" x14ac:dyDescent="0.25">
      <c r="B1" s="105" t="s">
        <v>0</v>
      </c>
    </row>
    <row r="2" spans="2:18" x14ac:dyDescent="0.25">
      <c r="B2" s="55" t="s">
        <v>27</v>
      </c>
    </row>
    <row r="3" spans="2:18" x14ac:dyDescent="0.25">
      <c r="E3" s="5"/>
    </row>
    <row r="4" spans="2:18" x14ac:dyDescent="0.25">
      <c r="E4" s="99" t="s">
        <v>19</v>
      </c>
      <c r="F4" s="82" t="s">
        <v>24</v>
      </c>
      <c r="G4" s="82" t="s">
        <v>41</v>
      </c>
      <c r="H4" s="82" t="s">
        <v>290</v>
      </c>
      <c r="I4" s="82" t="s">
        <v>20</v>
      </c>
      <c r="J4" s="97" t="s">
        <v>36</v>
      </c>
      <c r="K4" s="99"/>
      <c r="L4" s="99"/>
      <c r="M4" s="99"/>
      <c r="O4" s="97" t="s">
        <v>21</v>
      </c>
      <c r="P4" s="82" t="s">
        <v>292</v>
      </c>
      <c r="Q4" s="82" t="s">
        <v>77</v>
      </c>
      <c r="R4" s="82" t="s">
        <v>42</v>
      </c>
    </row>
    <row r="5" spans="2:18" x14ac:dyDescent="0.25">
      <c r="E5" s="352" t="s">
        <v>1</v>
      </c>
      <c r="F5" s="99" t="s">
        <v>6</v>
      </c>
      <c r="G5" s="142" t="s">
        <v>309</v>
      </c>
      <c r="H5" s="142" t="str">
        <f>G5</f>
        <v>(persona/veh)</v>
      </c>
      <c r="I5" s="99" t="s">
        <v>7</v>
      </c>
      <c r="J5" s="99" t="s">
        <v>499</v>
      </c>
      <c r="K5" s="99"/>
      <c r="L5" s="99"/>
      <c r="M5" s="99"/>
      <c r="O5" s="99" t="s">
        <v>8</v>
      </c>
      <c r="P5" s="99" t="s">
        <v>11</v>
      </c>
      <c r="Q5" s="99" t="s">
        <v>287</v>
      </c>
      <c r="R5" s="99" t="s">
        <v>9</v>
      </c>
    </row>
    <row r="6" spans="2:18" ht="75" x14ac:dyDescent="0.25">
      <c r="E6" s="352"/>
      <c r="F6" s="96" t="s">
        <v>5</v>
      </c>
      <c r="G6" s="96" t="s">
        <v>112</v>
      </c>
      <c r="H6" s="96" t="s">
        <v>289</v>
      </c>
      <c r="I6" s="96" t="s">
        <v>3</v>
      </c>
      <c r="J6" s="96" t="s">
        <v>143</v>
      </c>
      <c r="K6" s="99"/>
      <c r="L6" s="99"/>
      <c r="M6" s="99"/>
      <c r="O6" s="96" t="s">
        <v>4</v>
      </c>
      <c r="P6" s="96" t="s">
        <v>10</v>
      </c>
      <c r="Q6" s="96" t="s">
        <v>288</v>
      </c>
      <c r="R6" s="96" t="s">
        <v>12</v>
      </c>
    </row>
    <row r="7" spans="2:18" x14ac:dyDescent="0.25">
      <c r="E7" s="99" t="str">
        <f>MCI!B42</f>
        <v>A</v>
      </c>
      <c r="F7" s="27">
        <f>MCI!J42</f>
        <v>0.79800000000000004</v>
      </c>
      <c r="G7" s="100">
        <f>MCI!E121</f>
        <v>2.2799999999999998</v>
      </c>
      <c r="H7" s="100">
        <f>G7-1</f>
        <v>1.2799999999999998</v>
      </c>
      <c r="I7" s="99">
        <f>F7*$C$14</f>
        <v>4355.8829999999998</v>
      </c>
      <c r="J7" s="21">
        <f>I7*$C$10</f>
        <v>197757088.19999999</v>
      </c>
      <c r="K7" s="135">
        <f>IF(AND(C12=2,C11="P"),T!$I$66,IF(AND(C12=4,C11="P"),T!$I$67,IF(AND(C12=6,C11="P"),T!$I$68,IF(AND(C12=8,C11="P"),T!$I$69,IF(AND(C12=10,C11="P"),T!$I$70,IF(AND(C12=12,C11="P"),T!$I$71,0))))))</f>
        <v>0</v>
      </c>
      <c r="L7" s="135">
        <f>IF(AND(C12=2,C11="L"),T!$J$66,IF(AND(C12=4,C11="L"),T!$J$67,IF(AND(C12=6,C11="L"),T!$J$68,IF(AND(C12=8,C11="L"),T!$J$69,IF(AND(C12=10,C11="L"),T!$J$70,IF(AND(C12=12,C11="L"),T!$J$71,0))))))</f>
        <v>65.94</v>
      </c>
      <c r="M7" s="135">
        <f>IF(AND(C12=2,C11="M"),T!$K$66,IF(AND(C12=4,C11="M"),T!$K$67,IF(AND(C12=6,C11="M"),T!$K$68,IF(AND(C12=8,C11="M"),T!$K$69,IF(AND(C12=10,C11="M"),T!$K$70,IF(AND(C12=12,C11="M"),T!$K$71,0))))))</f>
        <v>0</v>
      </c>
      <c r="O7" s="99">
        <f t="shared" ref="O7:O13" si="0">SUM(K7:M7)</f>
        <v>65.94</v>
      </c>
      <c r="P7" s="7">
        <f>C$10*3600/(O7*1000)</f>
        <v>2478.6169244767971</v>
      </c>
      <c r="Q7" s="7">
        <f>P7*I7</f>
        <v>10796565.324840764</v>
      </c>
      <c r="R7" s="99">
        <f>Q7*H7</f>
        <v>13819603.615796175</v>
      </c>
    </row>
    <row r="8" spans="2:18" x14ac:dyDescent="0.25">
      <c r="B8" s="101"/>
      <c r="E8" s="99" t="str">
        <f>MCI!B43</f>
        <v xml:space="preserve"> B</v>
      </c>
      <c r="F8" s="27">
        <f>MCI!J43</f>
        <v>3.4000000000000002E-2</v>
      </c>
      <c r="G8" s="100">
        <f>MCI!E122</f>
        <v>12.81</v>
      </c>
      <c r="H8" s="100">
        <f t="shared" ref="H8:H14" si="1">G8-1</f>
        <v>11.81</v>
      </c>
      <c r="I8" s="99">
        <f t="shared" ref="I8:I14" si="2">F8*$C$14</f>
        <v>185.58900000000003</v>
      </c>
      <c r="J8" s="21">
        <f t="shared" ref="J8:J14" si="3">I8*$C$10</f>
        <v>8425740.6000000015</v>
      </c>
      <c r="K8" s="135">
        <f>IF(AND(C12=2,C11="P"),T!$I$56,IF(AND(C12=4,C11="P"),T!$I$57,IF(AND(C12=6,C11="P"),T!$I$58,IF(AND(C12=8,C11="P"),T!$I$59,IF(AND(C12=10,C11="P"),T!$I$60,IF(AND(C12=12,C11="P"),T!$I$61,0))))))</f>
        <v>0</v>
      </c>
      <c r="L8" s="135">
        <f>IF(AND(C12=2,C11="L"),T!$J$56,IF(AND(C12=4,C11="L"),T!$J$57,IF(AND(C12=6,C11="L"),T!$J$58,IF(AND(C12=8,C11="L"),T!$J$59,IF(AND(C12=10,C11="L"),T!$J$60,IF(AND(C12=12,C11="L"),T!$J$61,0))))))</f>
        <v>62.12</v>
      </c>
      <c r="M8" s="135">
        <f>IF(AND(C12=2,C11="M"),T!$K$56,IF(AND(C12=4,C11="M"),T!$K$57,IF(AND(C12=6,C11="M"),T!$K$58,IF(AND(C12=8,C11="M"),T!$K$59,IF(AND(C12=10,C11="M"),T!$K$60,IF(AND(C12=12,C11="M"),T!$K$61,0))))))</f>
        <v>0</v>
      </c>
      <c r="O8" s="99">
        <f t="shared" si="0"/>
        <v>62.12</v>
      </c>
      <c r="P8" s="7">
        <f t="shared" ref="P8:P14" si="4">C$10*3600/(O8*1000)</f>
        <v>2631.0367031551837</v>
      </c>
      <c r="Q8" s="7">
        <f t="shared" ref="Q8:Q14" si="5">P8*I8</f>
        <v>488291.47070186742</v>
      </c>
      <c r="R8" s="99">
        <f t="shared" ref="R8:R14" si="6">Q8*H8</f>
        <v>5766722.2689890545</v>
      </c>
    </row>
    <row r="9" spans="2:18" x14ac:dyDescent="0.25">
      <c r="B9" s="107" t="str">
        <f>MCI!$B$21</f>
        <v>Tramo</v>
      </c>
      <c r="C9" s="100">
        <f>MCI!C21</f>
        <v>1</v>
      </c>
      <c r="E9" s="99" t="str">
        <f>MCI!B44</f>
        <v>C2</v>
      </c>
      <c r="F9" s="27">
        <f>MCI!J44</f>
        <v>7.0166666666666669E-2</v>
      </c>
      <c r="G9" s="100">
        <f>MCI!E123</f>
        <v>1.37</v>
      </c>
      <c r="H9" s="100">
        <f t="shared" si="1"/>
        <v>0.37000000000000011</v>
      </c>
      <c r="I9" s="99">
        <f t="shared" si="2"/>
        <v>383.00475</v>
      </c>
      <c r="J9" s="21">
        <f t="shared" si="3"/>
        <v>17388415.649999999</v>
      </c>
      <c r="K9" s="135">
        <f>IF(AND(C12=2,C11="P"),T!$I$46,IF(AND(C12=4,C11="P"),T!$I$47,IF(AND(C12=6,C11="P"),T!$I$48,IF(AND(C12=8,C11="P"),T!$I$49,IF(AND(C12=10,C11="P"),T!$I$50,IF(AND(C12=12,C11="P"),T!$I$51,0))))))</f>
        <v>0</v>
      </c>
      <c r="L9" s="135">
        <f>IF(AND(C12=2,C11="L"),T!$J$46,IF(AND(C12=4,C11="L"),T!$J$47,IF(AND(C12=6,C11="L"),T!$J$48,IF(AND(C12=8,C11="L"),T!$J$49,IF(AND(C12=10,C11="L"),T!$J$50,IF(AND(C12=12,C11="L"),T!$J$51,0))))))</f>
        <v>53.77</v>
      </c>
      <c r="M9" s="135">
        <f>IF(AND(C12=2,C11="M"),T!$K$46,IF(AND(C12=4,C11="M"),T!$K$47,IF(AND(C12=6,C11="M"),T!$K$48,IF(AND(C12=8,C11="M"),T!$K$49,IF(AND(C12=10,C11="M"),T!$K$50,IF(AND(C12=12,C11="M"),T!$K$51,0))))))</f>
        <v>0</v>
      </c>
      <c r="O9" s="99">
        <f t="shared" si="0"/>
        <v>53.77</v>
      </c>
      <c r="P9" s="7">
        <f t="shared" si="4"/>
        <v>3039.6131671936023</v>
      </c>
      <c r="Q9" s="7">
        <f t="shared" si="5"/>
        <v>1164186.2811976939</v>
      </c>
      <c r="R9" s="99">
        <f t="shared" si="6"/>
        <v>430748.92404314689</v>
      </c>
    </row>
    <row r="10" spans="2:18" ht="14.45" customHeight="1" x14ac:dyDescent="0.25">
      <c r="B10" s="108" t="s">
        <v>236</v>
      </c>
      <c r="C10" s="76">
        <f>MCI!C23</f>
        <v>45400</v>
      </c>
      <c r="E10" s="99" t="str">
        <f>MCI!B45</f>
        <v>C3</v>
      </c>
      <c r="F10" s="27">
        <f>MCI!J45</f>
        <v>2.0833333333333332E-2</v>
      </c>
      <c r="G10" s="100">
        <f>MCI!E124</f>
        <v>1.23</v>
      </c>
      <c r="H10" s="100">
        <f t="shared" si="1"/>
        <v>0.22999999999999998</v>
      </c>
      <c r="I10" s="99">
        <f t="shared" si="2"/>
        <v>113.71875</v>
      </c>
      <c r="J10" s="21">
        <f t="shared" si="3"/>
        <v>5162831.25</v>
      </c>
      <c r="K10" s="135">
        <f>IF(AND(C12=2,C11="P"),T!$I$36,IF(AND(C12=4,C11="P"),T!$I$37,IF(AND(C12=6,C11="P"),T!$I$38,IF(AND(C12=8,C11="P"),T!$I$39,IF(AND(C12=10,C11="P"),T!$I$40,IF(AND(C12=12,C11="P"),T!$I$41,0))))))</f>
        <v>0</v>
      </c>
      <c r="L10" s="135">
        <f>IF(AND(C12=2,C11="L"),T!$J$36,IF(AND(C12=4,C11="L"),T!$J$37,IF(AND(C12=6,C11="L"),T!$J$38,IF(AND(C12=8,C11="L"),T!$J$39,IF(AND(C12=10,C11="L"),T!$J$40,IF(AND(C12=12,C11="L"),T!$J$41,0))))))</f>
        <v>46.26</v>
      </c>
      <c r="M10" s="135">
        <f>IF(AND(C12=2,C11="M"),T!$K$36,IF(AND(C12=4,C11="M"),T!$K$37,IF(AND(C12=6,C11="M"),T!$K$38,IF(AND(C12=8,C11="M"),T!$K$39,IF(AND(C12=10,C11="M"),T!$K$40,IF(AND(C12=12,C11="M"),T!$K$41,0))))))</f>
        <v>0</v>
      </c>
      <c r="O10" s="99">
        <f t="shared" si="0"/>
        <v>46.26</v>
      </c>
      <c r="P10" s="7">
        <f t="shared" si="4"/>
        <v>3533.0739299610896</v>
      </c>
      <c r="Q10" s="7">
        <f t="shared" si="5"/>
        <v>401776.75097276265</v>
      </c>
      <c r="R10" s="99">
        <f t="shared" si="6"/>
        <v>92408.652723735402</v>
      </c>
    </row>
    <row r="11" spans="2:18" x14ac:dyDescent="0.25">
      <c r="B11" s="108" t="str">
        <f>MCI!$B$24</f>
        <v>Tipo de terreno</v>
      </c>
      <c r="C11" s="100" t="str">
        <f>IF(MCI!C24=LISTA!A2,"P",IF(MCI!C24=LISTA!A3,"L",IF(MCI!C24=LISTA!A4,"M",0)))</f>
        <v>L</v>
      </c>
      <c r="E11" s="99" t="str">
        <f>MCI!B46</f>
        <v>T3S2</v>
      </c>
      <c r="F11" s="27">
        <f>MCI!J46</f>
        <v>4.8333333333333339E-2</v>
      </c>
      <c r="G11" s="100">
        <f>MCI!E125</f>
        <v>1.1399999999999999</v>
      </c>
      <c r="H11" s="100">
        <f t="shared" si="1"/>
        <v>0.1399999999999999</v>
      </c>
      <c r="I11" s="99">
        <f t="shared" si="2"/>
        <v>263.82750000000004</v>
      </c>
      <c r="J11" s="21">
        <f t="shared" si="3"/>
        <v>11977768.500000002</v>
      </c>
      <c r="K11" s="135">
        <f>IF(AND(C12=2,C11="P"),T!$I$26,IF(AND(C12=4,C11="P"),T!$I$27,IF(AND(C12=6,C11="P"),T!$I$28,IF(AND(C12=8,C11="P"),T!$I$29,IF(AND(C12=10,C11="P"),T!$I$30,IF(AND(C12=12,C11="P"),T!$I$31,0))))))</f>
        <v>0</v>
      </c>
      <c r="L11" s="135">
        <f>IF(AND(C12=2,C11="L"),T!$J$26,IF(AND(C12=4,C11="L"),T!$J$27,IF(AND(C12=6,C11="L"),T!$J$28,IF(AND(C12=8,C11="L"),T!$J$29,IF(AND(C12=10,C11="L"),T!$J$30,IF(AND(C12=12,C11="L"),T!$J$31,0))))))</f>
        <v>50.12</v>
      </c>
      <c r="M11" s="135">
        <f>IF(AND(C12=2,C11="M"),T!$K$26,IF(AND(C12=4,C11="M"),T!$K$27,IF(AND(C12=6,C11="M"),T!$K$28,IF(AND(C12=8,C11="M"),T!$K$29,IF(AND(C12=10,C11="M"),T!$K$30,IF(AND(C12=12,C11="M"),T!$K$31,0))))))</f>
        <v>0</v>
      </c>
      <c r="O11" s="99">
        <f t="shared" si="0"/>
        <v>50.12</v>
      </c>
      <c r="P11" s="7">
        <f t="shared" si="4"/>
        <v>3260.9736632083</v>
      </c>
      <c r="Q11" s="7">
        <f t="shared" si="5"/>
        <v>860334.52913008793</v>
      </c>
      <c r="R11" s="99">
        <f t="shared" si="6"/>
        <v>120446.83407821222</v>
      </c>
    </row>
    <row r="12" spans="2:18" x14ac:dyDescent="0.25">
      <c r="B12" s="108" t="str">
        <f>MCI!$B$25</f>
        <v>IIR</v>
      </c>
      <c r="C12" s="77">
        <f>IF(MCI!C25=LISTA!D2,2,IF(MCI!C25=LISTA!D3,4,IF(MCI!C25=LISTA!D4,6,IF(MCI!C25=LISTA!D5,8,IF(MCI!C25=LISTA!D6,10,IF(MCI!C25=LISTA!D7,12,0))))))</f>
        <v>4</v>
      </c>
      <c r="D12" s="3"/>
      <c r="E12" s="99" t="str">
        <f>MCI!B47</f>
        <v xml:space="preserve"> T3S3</v>
      </c>
      <c r="F12" s="27">
        <f>MCI!J47</f>
        <v>1.55E-2</v>
      </c>
      <c r="G12" s="100">
        <f>MCI!E126</f>
        <v>1.1399999999999999</v>
      </c>
      <c r="H12" s="100">
        <f t="shared" si="1"/>
        <v>0.1399999999999999</v>
      </c>
      <c r="I12" s="99">
        <f t="shared" si="2"/>
        <v>84.606750000000005</v>
      </c>
      <c r="J12" s="21">
        <f t="shared" si="3"/>
        <v>3841146.45</v>
      </c>
      <c r="K12" s="135">
        <f>IF(AND(C12=2,C11="P"),T!$I$16,IF(AND(C12=4,C11="P"),T!$I$17,IF(AND(C12=6,C11="P"),T!$I$18,IF(AND(C12=8,C11="P"),T!$I$19,IF(AND(C12=10,C11="P"),T!$I$20,IF(AND(C12=12,C11="P"),T!$I$21,0))))))</f>
        <v>0</v>
      </c>
      <c r="L12" s="135">
        <f>IF(AND(C12=2,C11="L"),T!$J$16,IF(AND(C12=4,C11="L"),T!$J$17,IF(AND(C12=6,C11="L"),T!$J$18,IF(AND(C12=8,C11="L"),T!$J$19,IF(AND(C12=10,C11="L"),T!$J$20,IF(AND(C12=12,C11="L"),T!$J$21,0))))))</f>
        <v>43.36</v>
      </c>
      <c r="M12" s="135">
        <f>IF(AND(C12=2,C11="M"),T!$K$16,IF(AND(C12=4,C11="M"),T!$K$17,IF(AND(C12=6,C11="M"),T!$K$18,IF(AND(C12=8,C11="M"),T!$K$19,IF(AND(C12=10,C11="M"),T!$K$20,IF(AND(C12=12,C11="M"),T!$K$21,0))))))</f>
        <v>0</v>
      </c>
      <c r="O12" s="99">
        <f t="shared" si="0"/>
        <v>43.36</v>
      </c>
      <c r="P12" s="7">
        <f t="shared" si="4"/>
        <v>3769.3726937269371</v>
      </c>
      <c r="Q12" s="7">
        <f t="shared" si="5"/>
        <v>318914.37315498153</v>
      </c>
      <c r="R12" s="99">
        <f t="shared" si="6"/>
        <v>44648.012241697383</v>
      </c>
    </row>
    <row r="13" spans="2:18" x14ac:dyDescent="0.25">
      <c r="B13" s="108" t="str">
        <f>MCI!$B$22</f>
        <v>Descripción</v>
      </c>
      <c r="C13" s="104" t="str">
        <f>MCI!C22</f>
        <v>Toluca - Atlacomulco (57)</v>
      </c>
      <c r="D13" s="3"/>
      <c r="E13" s="99" t="str">
        <f>MCI!B48</f>
        <v xml:space="preserve"> T3S2R4</v>
      </c>
      <c r="F13" s="27">
        <f>MCI!J48</f>
        <v>1.0166666666666666E-2</v>
      </c>
      <c r="G13" s="100">
        <f>MCI!E127</f>
        <v>1.0900000000000001</v>
      </c>
      <c r="H13" s="100">
        <f t="shared" si="1"/>
        <v>9.000000000000008E-2</v>
      </c>
      <c r="I13" s="99">
        <f t="shared" si="2"/>
        <v>55.494749999999996</v>
      </c>
      <c r="J13" s="21">
        <f t="shared" si="3"/>
        <v>2519461.65</v>
      </c>
      <c r="K13" s="135">
        <f>IF(AND(C12=2,C11="P"),T!$I$6,IF(AND(C12=4,C11="P"),T!$I$7,IF(AND(C12=6,C11="P"),T!$I$8,IF(AND(C12=8,C11="P"),T!$I$9,IF(AND(C12=10,C11="P"),T!$I$10,IF(AND(C12=12,C11="P"),T!$I$11,0))))))</f>
        <v>0</v>
      </c>
      <c r="L13" s="135">
        <f>IF(AND(C12=2,C11="L"),T!$J$6,IF(AND(C12=4,C11="L"),T!$J$7,IF(AND(C12=6,C11="L"),T!$J$8,IF(AND(C12=8,C11="L"),T!$J$9,IF(AND(C12=10,C11="L"),T!$J$10,IF(AND(C12=12,C11="L"),T!$J$11,0))))))</f>
        <v>34</v>
      </c>
      <c r="M13" s="135">
        <f>IF(AND(C12=2,C11="M"),T!$K$6,IF(AND(C12=4,C11="M"),T!$K$7,IF(AND(C12=6,C11="M"),T!$K$8,IF(AND(C12=8,C11="M"),T!$K$9,IF(AND(C12=10,C11="M"),T!$K$10,IF(AND(C12=12,C11="M"),T!$K$11,0))))))</f>
        <v>0</v>
      </c>
      <c r="O13" s="99">
        <f t="shared" si="0"/>
        <v>34</v>
      </c>
      <c r="P13" s="7">
        <f t="shared" si="4"/>
        <v>4807.0588235294117</v>
      </c>
      <c r="Q13" s="7">
        <f t="shared" si="5"/>
        <v>266766.52764705883</v>
      </c>
      <c r="R13" s="99">
        <f t="shared" si="6"/>
        <v>24008.987488235314</v>
      </c>
    </row>
    <row r="14" spans="2:18" x14ac:dyDescent="0.25">
      <c r="B14" s="108" t="s">
        <v>262</v>
      </c>
      <c r="C14" s="100">
        <f>MCI!C58</f>
        <v>5458.5</v>
      </c>
      <c r="E14" s="99" t="str">
        <f>MCI!B49</f>
        <v xml:space="preserve"> OTROS</v>
      </c>
      <c r="F14" s="27">
        <f>MCI!J49</f>
        <v>3.0000000000000768E-3</v>
      </c>
      <c r="G14" s="100">
        <f>MCI!E128</f>
        <v>1.0900000000000001</v>
      </c>
      <c r="H14" s="100">
        <f t="shared" si="1"/>
        <v>9.000000000000008E-2</v>
      </c>
      <c r="I14" s="99">
        <f t="shared" si="2"/>
        <v>16.375500000000418</v>
      </c>
      <c r="J14" s="21">
        <f t="shared" si="3"/>
        <v>743447.70000001893</v>
      </c>
      <c r="K14" s="99"/>
      <c r="L14" s="99"/>
      <c r="M14" s="99"/>
      <c r="O14" s="140">
        <f>AVERAGE(O7:O13)</f>
        <v>50.795714285714283</v>
      </c>
      <c r="P14" s="7">
        <f t="shared" si="4"/>
        <v>3217.5942852321627</v>
      </c>
      <c r="Q14" s="7">
        <f t="shared" si="5"/>
        <v>52689.715217820623</v>
      </c>
      <c r="R14" s="99">
        <f t="shared" si="6"/>
        <v>4742.0743696038608</v>
      </c>
    </row>
    <row r="15" spans="2:18" x14ac:dyDescent="0.25">
      <c r="E15" s="19"/>
      <c r="F15" s="43"/>
      <c r="G15" s="43"/>
      <c r="H15" s="43"/>
      <c r="I15" s="19"/>
      <c r="J15" s="44"/>
      <c r="Q15" s="82" t="s">
        <v>17</v>
      </c>
      <c r="R15" s="99">
        <f>SUM(R7:R14)</f>
        <v>20303329.369729865</v>
      </c>
    </row>
    <row r="17" spans="2:21" x14ac:dyDescent="0.25">
      <c r="E17" s="99" t="s">
        <v>19</v>
      </c>
      <c r="F17" s="82" t="s">
        <v>24</v>
      </c>
      <c r="G17" s="82" t="s">
        <v>41</v>
      </c>
      <c r="H17" s="82" t="s">
        <v>290</v>
      </c>
      <c r="I17" s="82" t="s">
        <v>20</v>
      </c>
      <c r="J17" s="97" t="s">
        <v>36</v>
      </c>
      <c r="K17" s="99"/>
      <c r="L17" s="99"/>
      <c r="M17" s="99"/>
      <c r="O17" s="97" t="s">
        <v>21</v>
      </c>
      <c r="P17" s="82" t="s">
        <v>292</v>
      </c>
      <c r="Q17" s="82" t="s">
        <v>77</v>
      </c>
      <c r="R17" s="82" t="s">
        <v>42</v>
      </c>
    </row>
    <row r="18" spans="2:21" x14ac:dyDescent="0.25">
      <c r="E18" s="352" t="s">
        <v>1</v>
      </c>
      <c r="F18" s="99" t="s">
        <v>6</v>
      </c>
      <c r="G18" s="142" t="s">
        <v>309</v>
      </c>
      <c r="H18" s="142" t="str">
        <f>G18</f>
        <v>(persona/veh)</v>
      </c>
      <c r="I18" s="99" t="s">
        <v>7</v>
      </c>
      <c r="J18" s="99" t="str">
        <f>J5</f>
        <v>(m)</v>
      </c>
      <c r="K18" s="99"/>
      <c r="L18" s="99"/>
      <c r="M18" s="99"/>
      <c r="O18" s="99" t="s">
        <v>8</v>
      </c>
      <c r="P18" s="99" t="s">
        <v>11</v>
      </c>
      <c r="Q18" s="99" t="s">
        <v>287</v>
      </c>
      <c r="R18" s="99" t="s">
        <v>9</v>
      </c>
    </row>
    <row r="19" spans="2:21" ht="75" x14ac:dyDescent="0.25">
      <c r="E19" s="352"/>
      <c r="F19" s="96" t="s">
        <v>5</v>
      </c>
      <c r="G19" s="96" t="s">
        <v>112</v>
      </c>
      <c r="H19" s="96" t="s">
        <v>289</v>
      </c>
      <c r="I19" s="96" t="s">
        <v>3</v>
      </c>
      <c r="J19" s="96" t="s">
        <v>143</v>
      </c>
      <c r="K19" s="99"/>
      <c r="L19" s="99"/>
      <c r="M19" s="99"/>
      <c r="O19" s="96" t="s">
        <v>4</v>
      </c>
      <c r="P19" s="96" t="s">
        <v>10</v>
      </c>
      <c r="Q19" s="96" t="s">
        <v>288</v>
      </c>
      <c r="R19" s="96" t="s">
        <v>12</v>
      </c>
    </row>
    <row r="20" spans="2:21" x14ac:dyDescent="0.25">
      <c r="E20" s="99" t="str">
        <f>E7</f>
        <v>A</v>
      </c>
      <c r="F20" s="27">
        <f t="shared" ref="F20:G27" si="7">F7</f>
        <v>0.79800000000000004</v>
      </c>
      <c r="G20" s="100">
        <f>G7</f>
        <v>2.2799999999999998</v>
      </c>
      <c r="H20" s="100">
        <f>G20-1</f>
        <v>1.2799999999999998</v>
      </c>
      <c r="I20" s="99">
        <f>F20*$C$27</f>
        <v>4355.8829999999998</v>
      </c>
      <c r="J20" s="21">
        <f>I20*$C$23</f>
        <v>101492073.89999999</v>
      </c>
      <c r="K20" s="135">
        <f>IF(AND(C25=2,C24="P"),T!$I$66,IF(AND(C25=4,C24="P"),T!$I$67,IF(AND(C25=6,C24="P"),T!$I$68,IF(AND(C25=8,C24="P"),T!$I$69,IF(AND(C25=10,C24="P"),T!$I$70,IF(AND(C25=12,C24="P"),T!$I$71,0))))))</f>
        <v>0</v>
      </c>
      <c r="L20" s="135">
        <f>IF(AND(C25=2,C24="L"),T!$J$66,IF(AND(C25=4,C24="L"),T!$J$67,IF(AND(C25=6,C24="L"),T!$J$68,IF(AND(C25=8,C24="L"),T!$J$69,IF(AND(C25=10,C24="L"),T!$J$70,IF(AND(C25=12,C24="L"),T!$J$71,0))))))</f>
        <v>0</v>
      </c>
      <c r="M20" s="135">
        <f>IF(AND(C25=2,C24="M"),T!$K$66,IF(AND(C25=4,C24="M"),T!$K$67,IF(AND(C25=6,C24="M"),T!$K$68,IF(AND(C25=8,C24="M"),T!$K$69,IF(AND(C25=10,C24="M"),T!$K$70,IF(AND(C25=12,C24="M"),T!$K$71,0))))))</f>
        <v>50.76</v>
      </c>
      <c r="O20" s="99">
        <f t="shared" ref="O20:O26" si="8">SUM(K20:M20)</f>
        <v>50.76</v>
      </c>
      <c r="P20" s="7">
        <f>C$23*3600/(O20*1000)</f>
        <v>1652.4822695035461</v>
      </c>
      <c r="Q20" s="7">
        <f t="shared" ref="Q20:Q27" si="9">P20*I20</f>
        <v>7198019.4255319145</v>
      </c>
      <c r="R20" s="99">
        <f t="shared" ref="R20:R27" si="10">Q20*H20</f>
        <v>9213464.864680849</v>
      </c>
      <c r="U20" s="122"/>
    </row>
    <row r="21" spans="2:21" x14ac:dyDescent="0.25">
      <c r="E21" s="99" t="str">
        <f t="shared" ref="E21:E27" si="11">E8</f>
        <v xml:space="preserve"> B</v>
      </c>
      <c r="F21" s="27">
        <f t="shared" si="7"/>
        <v>3.4000000000000002E-2</v>
      </c>
      <c r="G21" s="100">
        <f t="shared" si="7"/>
        <v>12.81</v>
      </c>
      <c r="H21" s="100">
        <f t="shared" ref="H21:H27" si="12">G21-1</f>
        <v>11.81</v>
      </c>
      <c r="I21" s="99">
        <f t="shared" ref="I21:I26" si="13">F21*$C$27</f>
        <v>185.58900000000003</v>
      </c>
      <c r="J21" s="21">
        <f t="shared" ref="J21:J26" si="14">I21*$C$23</f>
        <v>4324223.7</v>
      </c>
      <c r="K21" s="135">
        <f>IF(AND(C25=2,C24="P"),T!$I$56,IF(AND(C25=4,C24="P"),T!$I$57,IF(AND(C25=6,C24="P"),T!$I$58,IF(AND(C25=8,C24="P"),T!$I$59,IF(AND(C25=10,C24="P"),T!$I$60,IF(AND(C25=12,C24="P"),T!$I$61,0))))))</f>
        <v>0</v>
      </c>
      <c r="L21" s="135">
        <f>IF(AND(C25=2,C24="L"),T!$J$56,IF(AND(C25=4,C24="L"),T!$J$57,IF(AND(C25=6,C24="L"),T!$J$58,IF(AND(C25=8,C24="L"),T!$J$59,IF(AND(C25=10,C24="L"),T!$J$60,IF(AND(C25=12,C24="L"),T!$J$61,0))))))</f>
        <v>0</v>
      </c>
      <c r="M21" s="135">
        <f>IF(AND(C25=2,C24="M"),T!$K$56,IF(AND(C25=4,C24="M"),T!$K$57,IF(AND(C25=6,C24="M"),T!$K$58,IF(AND(C25=8,C24="M"),T!$K$59,IF(AND(C25=10,C24="M"),T!$K$60,IF(AND(C25=12,C24="M"),T!$K$61,0))))))</f>
        <v>46.94</v>
      </c>
      <c r="O21" s="99">
        <f t="shared" si="8"/>
        <v>46.94</v>
      </c>
      <c r="P21" s="7">
        <f t="shared" ref="P21:P27" si="15">C$23*3600/(O21*1000)</f>
        <v>1786.9620792501066</v>
      </c>
      <c r="Q21" s="7">
        <f t="shared" si="9"/>
        <v>331640.50532594806</v>
      </c>
      <c r="R21" s="99">
        <f t="shared" si="10"/>
        <v>3916674.3678994467</v>
      </c>
    </row>
    <row r="22" spans="2:21" x14ac:dyDescent="0.25">
      <c r="B22" s="107" t="str">
        <f t="shared" ref="B22:B27" si="16">B9</f>
        <v>Tramo</v>
      </c>
      <c r="C22" s="99">
        <f>MCI!D21</f>
        <v>2</v>
      </c>
      <c r="E22" s="99" t="str">
        <f t="shared" si="11"/>
        <v>C2</v>
      </c>
      <c r="F22" s="27">
        <f t="shared" si="7"/>
        <v>7.0166666666666669E-2</v>
      </c>
      <c r="G22" s="100">
        <f t="shared" si="7"/>
        <v>1.37</v>
      </c>
      <c r="H22" s="100">
        <f t="shared" si="12"/>
        <v>0.37000000000000011</v>
      </c>
      <c r="I22" s="99">
        <f t="shared" si="13"/>
        <v>383.00475</v>
      </c>
      <c r="J22" s="21">
        <f t="shared" si="14"/>
        <v>8924010.6750000007</v>
      </c>
      <c r="K22" s="135">
        <f>IF(AND(C25=2,C24="P"),T!$I$46,IF(AND(C25=4,C24="P"),T!$I$47,IF(AND(C25=6,C24="P"),T!$I$48,IF(AND(C25=8,C24="P"),T!$I$49,IF(AND(C25=10,C24="P"),T!$I$50,IF(AND(C25=12,C24="P"),T!$I$51,0))))))</f>
        <v>0</v>
      </c>
      <c r="L22" s="135">
        <f>IF(AND(C25=2,C24="L"),T!$J$46,IF(AND(C25=4,C24="L"),T!$J$47,IF(AND(C25=6,C24="L"),T!$J$48,IF(AND(C25=8,C24="L"),T!$J$49,IF(AND(C25=10,C24="L"),T!$J$50,IF(AND(C25=12,C24="L"),T!$J$51,0))))))</f>
        <v>0</v>
      </c>
      <c r="M22" s="135">
        <f>IF(AND(C25=2,C24="M"),T!$K$46,IF(AND(C25=4,C24="M"),T!$K$47,IF(AND(C25=6,C24="M"),T!$K$48,IF(AND(C25=8,C24="M"),T!$K$49,IF(AND(C25=10,C24="M"),T!$K$50,IF(AND(C25=12,C24="M"),T!$K$51,0))))))</f>
        <v>41.23</v>
      </c>
      <c r="O22" s="99">
        <f t="shared" si="8"/>
        <v>41.23</v>
      </c>
      <c r="P22" s="7">
        <f t="shared" si="15"/>
        <v>2034.4409410623332</v>
      </c>
      <c r="Q22" s="7">
        <f t="shared" si="9"/>
        <v>779200.5440213437</v>
      </c>
      <c r="R22" s="99">
        <f t="shared" si="10"/>
        <v>288304.20128789725</v>
      </c>
    </row>
    <row r="23" spans="2:21" x14ac:dyDescent="0.25">
      <c r="B23" s="107" t="str">
        <f t="shared" si="16"/>
        <v>Longitud (m)</v>
      </c>
      <c r="C23" s="76">
        <f>MCI!D23</f>
        <v>23300</v>
      </c>
      <c r="E23" s="99" t="str">
        <f t="shared" si="11"/>
        <v>C3</v>
      </c>
      <c r="F23" s="27">
        <f t="shared" si="7"/>
        <v>2.0833333333333332E-2</v>
      </c>
      <c r="G23" s="100">
        <f t="shared" si="7"/>
        <v>1.23</v>
      </c>
      <c r="H23" s="100">
        <f t="shared" si="12"/>
        <v>0.22999999999999998</v>
      </c>
      <c r="I23" s="99">
        <f t="shared" si="13"/>
        <v>113.71875</v>
      </c>
      <c r="J23" s="21">
        <f t="shared" si="14"/>
        <v>2649646.875</v>
      </c>
      <c r="K23" s="135">
        <f>IF(AND(C25=2,C24="P"),T!$I$36,IF(AND(C25=4,C24="P"),T!$I$37,IF(AND(C25=6,C24="P"),T!$I$38,IF(AND(C25=8,C24="P"),T!$I$39,IF(AND(C25=10,C24="P"),T!$I$40,IF(AND(C25=12,C24="P"),T!$I$41,0))))))</f>
        <v>0</v>
      </c>
      <c r="L23" s="135">
        <f>IF(AND(C25=2,C24="L"),T!$J$36,IF(AND(C25=4,C24="L"),T!$J$37,IF(AND(C25=6,C24="L"),T!$J$38,IF(AND(C25=8,C24="L"),T!$J$39,IF(AND(C25=10,C24="L"),T!$J$40,IF(AND(C25=12,C24="L"),T!$J$41,0))))))</f>
        <v>0</v>
      </c>
      <c r="M23" s="135">
        <f>IF(AND(C25=2,C24="M"),T!$K$36,IF(AND(C25=4,C24="M"),T!$K$37,IF(AND(C25=6,C24="M"),T!$K$38,IF(AND(C25=8,C24="M"),T!$K$39,IF(AND(C25=10,C24="M"),T!$K$40,IF(AND(C25=12,C24="M"),T!$K$41,0))))))</f>
        <v>34.86</v>
      </c>
      <c r="O23" s="99">
        <f t="shared" si="8"/>
        <v>34.86</v>
      </c>
      <c r="P23" s="7">
        <f t="shared" si="15"/>
        <v>2406.1962134251289</v>
      </c>
      <c r="Q23" s="7">
        <f t="shared" si="9"/>
        <v>273629.62564543891</v>
      </c>
      <c r="R23" s="99">
        <f t="shared" si="10"/>
        <v>62934.813898450942</v>
      </c>
    </row>
    <row r="24" spans="2:21" x14ac:dyDescent="0.25">
      <c r="B24" s="107" t="str">
        <f t="shared" si="16"/>
        <v>Tipo de terreno</v>
      </c>
      <c r="C24" s="100" t="str">
        <f>IF(MCI!D24=LISTA!A2,"P",IF(MCI!D24=LISTA!A3,"L",IF(MCI!D24=LISTA!A4,"M",0)))</f>
        <v>M</v>
      </c>
      <c r="E24" s="99" t="str">
        <f t="shared" si="11"/>
        <v>T3S2</v>
      </c>
      <c r="F24" s="27">
        <f t="shared" si="7"/>
        <v>4.8333333333333339E-2</v>
      </c>
      <c r="G24" s="100">
        <f t="shared" si="7"/>
        <v>1.1399999999999999</v>
      </c>
      <c r="H24" s="100">
        <f t="shared" si="12"/>
        <v>0.1399999999999999</v>
      </c>
      <c r="I24" s="99">
        <f t="shared" si="13"/>
        <v>263.82750000000004</v>
      </c>
      <c r="J24" s="21">
        <f t="shared" si="14"/>
        <v>6147180.7500000009</v>
      </c>
      <c r="K24" s="135">
        <f>IF(AND(C25=2,C24="P"),T!$I$26,IF(AND(C25=4,C24="P"),T!$I$27,IF(AND(C25=6,C24="P"),T!$I$28,IF(AND(C25=8,C24="P"),T!$I$29,IF(AND(C25=10,C24="P"),T!$I$30,IF(AND(C25=12,C24="P"),T!$I$31,0))))))</f>
        <v>0</v>
      </c>
      <c r="L24" s="135">
        <f>IF(AND(C25=2,C24="L"),T!$J$26,IF(AND(C25=4,C24="L"),T!$J$27,IF(AND(C25=6,C24="L"),T!$J$28,IF(AND(C25=8,C24="L"),T!$J$29,IF(AND(C25=10,C24="L"),T!$J$30,IF(AND(C25=12,C24="L"),T!$J$31,0))))))</f>
        <v>0</v>
      </c>
      <c r="M24" s="135">
        <f>IF(AND(C25=2,C24="M"),T!$K$26,IF(AND(C25=4,C24="M"),T!$K$27,IF(AND(C25=6,C24="M"),T!$K$28,IF(AND(C25=8,C24="M"),T!$K$29,IF(AND(C25=10,C24="M"),T!$K$30,IF(AND(C25=12,C24="M"),T!$K$31,0))))))</f>
        <v>36.76</v>
      </c>
      <c r="O24" s="99">
        <f t="shared" si="8"/>
        <v>36.76</v>
      </c>
      <c r="P24" s="7">
        <f t="shared" si="15"/>
        <v>2281.8280739934712</v>
      </c>
      <c r="Q24" s="7">
        <f t="shared" si="9"/>
        <v>602008.99619151268</v>
      </c>
      <c r="R24" s="99">
        <f t="shared" si="10"/>
        <v>84281.259466811709</v>
      </c>
    </row>
    <row r="25" spans="2:21" x14ac:dyDescent="0.25">
      <c r="B25" s="107" t="str">
        <f t="shared" si="16"/>
        <v>IIR</v>
      </c>
      <c r="C25" s="77">
        <f>MCI!D25</f>
        <v>6</v>
      </c>
      <c r="E25" s="99" t="str">
        <f t="shared" si="11"/>
        <v xml:space="preserve"> T3S3</v>
      </c>
      <c r="F25" s="27">
        <f t="shared" si="7"/>
        <v>1.55E-2</v>
      </c>
      <c r="G25" s="100">
        <f t="shared" si="7"/>
        <v>1.1399999999999999</v>
      </c>
      <c r="H25" s="100">
        <f t="shared" si="12"/>
        <v>0.1399999999999999</v>
      </c>
      <c r="I25" s="99">
        <f t="shared" si="13"/>
        <v>84.606750000000005</v>
      </c>
      <c r="J25" s="21">
        <f t="shared" si="14"/>
        <v>1971337.2750000001</v>
      </c>
      <c r="K25" s="135">
        <f>IF(AND(C25=2,C24="P"),T!$I$16,IF(AND(C25=4,C24="P"),T!$I$17,IF(AND(C25=6,C24="P"),T!$I$18,IF(AND(C25=8,C24="P"),T!$I$19,IF(AND(C25=10,C24="P"),T!$I$20,IF(AND(C25=12,C24="P"),T!$I$21,0))))))</f>
        <v>0</v>
      </c>
      <c r="L25" s="135">
        <f>IF(AND(C25=2,C24="L"),T!$J$16,IF(AND(C25=4,C24="L"),T!$J$17,IF(AND(C25=6,C24="L"),T!$J$18,IF(AND(C25=8,C24="L"),T!$J$19,IF(AND(C25=10,C24="L"),T!$J$20,IF(AND(C25=12,C24="L"),T!$J$21,0))))))</f>
        <v>0</v>
      </c>
      <c r="M25" s="135">
        <f>IF(AND(C25=2,C24="M"),T!$K$16,IF(AND(C25=4,C24="M"),T!$K$17,IF(AND(C25=6,C24="M"),T!$K$18,IF(AND(C25=8,C24="M"),T!$K$19,IF(AND(C25=10,C24="M"),T!$K$20,IF(AND(C25=12,C24="M"),T!$K$21,0))))))</f>
        <v>31.68</v>
      </c>
      <c r="O25" s="99">
        <f t="shared" si="8"/>
        <v>31.68</v>
      </c>
      <c r="P25" s="7">
        <f>C$23*3600/(O25*1000)</f>
        <v>2647.7272727272725</v>
      </c>
      <c r="Q25" s="7">
        <f t="shared" si="9"/>
        <v>224015.59943181818</v>
      </c>
      <c r="R25" s="99">
        <f t="shared" si="10"/>
        <v>31362.183920454521</v>
      </c>
    </row>
    <row r="26" spans="2:21" x14ac:dyDescent="0.25">
      <c r="B26" s="107" t="str">
        <f t="shared" si="16"/>
        <v>Descripción</v>
      </c>
      <c r="C26" s="104" t="str">
        <f>MCI!D22</f>
        <v>Atlacomulco - Acambay (57)</v>
      </c>
      <c r="E26" s="99" t="str">
        <f t="shared" si="11"/>
        <v xml:space="preserve"> T3S2R4</v>
      </c>
      <c r="F26" s="27">
        <f t="shared" si="7"/>
        <v>1.0166666666666666E-2</v>
      </c>
      <c r="G26" s="100">
        <f t="shared" si="7"/>
        <v>1.0900000000000001</v>
      </c>
      <c r="H26" s="100">
        <f t="shared" si="12"/>
        <v>9.000000000000008E-2</v>
      </c>
      <c r="I26" s="99">
        <f t="shared" si="13"/>
        <v>55.494749999999996</v>
      </c>
      <c r="J26" s="21">
        <f t="shared" si="14"/>
        <v>1293027.6749999998</v>
      </c>
      <c r="K26" s="135">
        <f>IF(AND(C25=2,C24="P"),T!$I$6,IF(AND(C25=4,C24="P"),T!$I$7,IF(AND(C25=6,C24="P"),T!$I$8,IF(AND(C25=8,C24="P"),T!$I$9,IF(AND(C25=10,C24="P"),T!$I$10,IF(AND(C25=12,C24="P"),T!$I$11,0))))))</f>
        <v>0</v>
      </c>
      <c r="L26" s="135">
        <f>IF(AND(C25=2,C24="L"),T!$J$6,IF(AND(C25=4,C24="L"),T!$J$7,IF(AND(C25=6,C24="L"),T!$J$8,IF(AND(C25=8,C24="L"),T!$J$9,IF(AND(C25=10,C24="L"),T!$J$10,IF(AND(C25=12,C24="L"),T!$J$11,0))))))</f>
        <v>0</v>
      </c>
      <c r="M26" s="135">
        <f>IF(AND(C25=2,C24="M"),T!$K$6,IF(AND(C25=4,C24="M"),T!$K$7,IF(AND(C25=6,C24="M"),T!$K$8,IF(AND(C25=8,C24="M"),T!$K$9,IF(AND(C25=10,C24="M"),T!$K$10,IF(AND(C25=12,C24="M"),T!$K$11,0))))))</f>
        <v>24.85</v>
      </c>
      <c r="O26" s="99">
        <f t="shared" si="8"/>
        <v>24.85</v>
      </c>
      <c r="P26" s="7">
        <f t="shared" si="15"/>
        <v>3375.4527162977865</v>
      </c>
      <c r="Q26" s="7">
        <f t="shared" si="9"/>
        <v>187319.90462776658</v>
      </c>
      <c r="R26" s="99">
        <f t="shared" si="10"/>
        <v>16858.791416499007</v>
      </c>
    </row>
    <row r="27" spans="2:21" x14ac:dyDescent="0.25">
      <c r="B27" s="225" t="str">
        <f t="shared" si="16"/>
        <v>TDPARP (vpd)</v>
      </c>
      <c r="C27" s="100">
        <f>C14</f>
        <v>5458.5</v>
      </c>
      <c r="E27" s="99" t="str">
        <f t="shared" si="11"/>
        <v xml:space="preserve"> OTROS</v>
      </c>
      <c r="F27" s="27">
        <f t="shared" si="7"/>
        <v>3.0000000000000768E-3</v>
      </c>
      <c r="G27" s="100">
        <f t="shared" si="7"/>
        <v>1.0900000000000001</v>
      </c>
      <c r="H27" s="100">
        <f t="shared" si="12"/>
        <v>9.000000000000008E-2</v>
      </c>
      <c r="I27" s="99">
        <f>F27*$C$27</f>
        <v>16.375500000000418</v>
      </c>
      <c r="J27" s="21">
        <f>I27*$C$23</f>
        <v>381549.15000000974</v>
      </c>
      <c r="K27" s="99"/>
      <c r="L27" s="99"/>
      <c r="M27" s="99"/>
      <c r="O27" s="140">
        <f>AVERAGE(O20:O26)</f>
        <v>38.154285714285713</v>
      </c>
      <c r="P27" s="7">
        <f t="shared" si="15"/>
        <v>2198.4424142579005</v>
      </c>
      <c r="Q27" s="7">
        <f t="shared" si="9"/>
        <v>36000.593754681169</v>
      </c>
      <c r="R27" s="99">
        <f t="shared" si="10"/>
        <v>3240.0534379213082</v>
      </c>
    </row>
    <row r="28" spans="2:21" x14ac:dyDescent="0.25">
      <c r="E28" s="19"/>
      <c r="F28" s="43"/>
      <c r="G28" s="43"/>
      <c r="H28" s="43"/>
      <c r="I28" s="19"/>
      <c r="J28" s="44"/>
      <c r="Q28" s="82" t="s">
        <v>17</v>
      </c>
      <c r="R28" s="99">
        <f>SUM(R20:R27)</f>
        <v>13617120.536008334</v>
      </c>
    </row>
    <row r="30" spans="2:21" x14ac:dyDescent="0.25">
      <c r="E30" s="99" t="s">
        <v>19</v>
      </c>
      <c r="F30" s="82" t="s">
        <v>24</v>
      </c>
      <c r="G30" s="82" t="s">
        <v>41</v>
      </c>
      <c r="H30" s="82" t="s">
        <v>290</v>
      </c>
      <c r="I30" s="82" t="s">
        <v>20</v>
      </c>
      <c r="J30" s="97" t="s">
        <v>36</v>
      </c>
      <c r="K30" s="99"/>
      <c r="L30" s="99"/>
      <c r="M30" s="99"/>
      <c r="O30" s="97" t="s">
        <v>21</v>
      </c>
      <c r="P30" s="82" t="s">
        <v>292</v>
      </c>
      <c r="Q30" s="82" t="s">
        <v>77</v>
      </c>
      <c r="R30" s="82" t="s">
        <v>42</v>
      </c>
    </row>
    <row r="31" spans="2:21" x14ac:dyDescent="0.25">
      <c r="E31" s="352" t="s">
        <v>1</v>
      </c>
      <c r="F31" s="99" t="s">
        <v>6</v>
      </c>
      <c r="G31" s="142" t="s">
        <v>309</v>
      </c>
      <c r="H31" s="142" t="str">
        <f>G31</f>
        <v>(persona/veh)</v>
      </c>
      <c r="I31" s="99" t="s">
        <v>7</v>
      </c>
      <c r="J31" s="234" t="str">
        <f>J18</f>
        <v>(m)</v>
      </c>
      <c r="K31" s="99"/>
      <c r="L31" s="99"/>
      <c r="M31" s="99"/>
      <c r="O31" s="99" t="s">
        <v>8</v>
      </c>
      <c r="P31" s="99" t="s">
        <v>11</v>
      </c>
      <c r="Q31" s="99" t="s">
        <v>287</v>
      </c>
      <c r="R31" s="99" t="s">
        <v>9</v>
      </c>
    </row>
    <row r="32" spans="2:21" ht="75" x14ac:dyDescent="0.25">
      <c r="E32" s="352"/>
      <c r="F32" s="96" t="s">
        <v>5</v>
      </c>
      <c r="G32" s="96" t="s">
        <v>112</v>
      </c>
      <c r="H32" s="96" t="s">
        <v>289</v>
      </c>
      <c r="I32" s="96" t="s">
        <v>3</v>
      </c>
      <c r="J32" s="96" t="s">
        <v>143</v>
      </c>
      <c r="K32" s="99"/>
      <c r="L32" s="99"/>
      <c r="M32" s="99"/>
      <c r="O32" s="96" t="s">
        <v>4</v>
      </c>
      <c r="P32" s="96" t="s">
        <v>10</v>
      </c>
      <c r="Q32" s="96" t="s">
        <v>288</v>
      </c>
      <c r="R32" s="96" t="s">
        <v>12</v>
      </c>
    </row>
    <row r="33" spans="2:21" x14ac:dyDescent="0.25">
      <c r="E33" s="99" t="str">
        <f>E20</f>
        <v>A</v>
      </c>
      <c r="F33" s="27">
        <f t="shared" ref="F33:G40" si="17">F20</f>
        <v>0.79800000000000004</v>
      </c>
      <c r="G33" s="100">
        <f>G20</f>
        <v>2.2799999999999998</v>
      </c>
      <c r="H33" s="100">
        <f>G33-1</f>
        <v>1.2799999999999998</v>
      </c>
      <c r="I33" s="99">
        <f>F33*$C$40</f>
        <v>4355.8829999999998</v>
      </c>
      <c r="J33" s="21">
        <f>I33*$C$36</f>
        <v>101492073.89999999</v>
      </c>
      <c r="K33" s="135">
        <f>IF(AND(C38=2,C37="P"),T!$I$66,IF(AND(C38=4,C37="P"),T!$I$67,IF(AND(C38=6,C37="P"),T!$I$68,IF(AND(C38=8,C37="P"),T!$I$69,IF(AND(C38=10,C37="P"),T!$I$70,IF(AND(C38=12,C37="P"),T!$I$71,0))))))</f>
        <v>0</v>
      </c>
      <c r="L33" s="135">
        <f>IF(AND(C38=2,C37="L"),T!$J$66,IF(AND(C38=4,C37="L"),T!$J$67,IF(AND(C38=6,C37="L"),T!$J$68,IF(AND(C38=8,C37="L"),T!$J$69,IF(AND(C38=10,C37="L"),T!$J$70,IF(AND(C38=12,C37="L"),T!$J$71,0))))))</f>
        <v>0</v>
      </c>
      <c r="M33" s="135">
        <f>IF(AND(C38=2,C37="M"),T!$K$66,IF(AND(C38=4,C37="M"),T!$K$67,IF(AND(C38=6,C37="M"),T!$K$68,IF(AND(C38=8,C37="M"),T!$K$69,IF(AND(C38=10,C37="M"),T!$K$70,IF(AND(C38=12,C37="M"),T!$K$71,0))))))</f>
        <v>51.46</v>
      </c>
      <c r="O33" s="99">
        <f t="shared" ref="O33:O39" si="18">SUM(K33:M33)</f>
        <v>51.46</v>
      </c>
      <c r="P33" s="7">
        <f>C$36*3600/(O33*1000)</f>
        <v>1630.0038865137972</v>
      </c>
      <c r="Q33" s="7">
        <f t="shared" ref="Q33:Q40" si="19">P33*I33</f>
        <v>7100106.219199378</v>
      </c>
      <c r="R33" s="99">
        <f t="shared" ref="R33:R40" si="20">Q33*H33</f>
        <v>9088135.9605752025</v>
      </c>
      <c r="U33" s="122"/>
    </row>
    <row r="34" spans="2:21" x14ac:dyDescent="0.25">
      <c r="E34" s="99" t="str">
        <f t="shared" ref="E34:E40" si="21">E21</f>
        <v xml:space="preserve"> B</v>
      </c>
      <c r="F34" s="27">
        <f t="shared" si="17"/>
        <v>3.4000000000000002E-2</v>
      </c>
      <c r="G34" s="100">
        <f t="shared" si="17"/>
        <v>12.81</v>
      </c>
      <c r="H34" s="100">
        <f t="shared" ref="H34:H40" si="22">G34-1</f>
        <v>11.81</v>
      </c>
      <c r="I34" s="99">
        <f t="shared" ref="I34:I40" si="23">F34*$C$40</f>
        <v>185.58900000000003</v>
      </c>
      <c r="J34" s="21">
        <f t="shared" ref="J34:J40" si="24">I34*$C$36</f>
        <v>4324223.7</v>
      </c>
      <c r="K34" s="135">
        <f>IF(AND(C38=2,C37="P"),T!$I$56,IF(AND(C38=4,C37="P"),T!$I$57,IF(AND(C38=6,C37="P"),T!$I$58,IF(AND(C38=8,C37="P"),T!$I$59,IF(AND(C38=10,C37="P"),T!$I$60,IF(AND(C38=12,C37="P"),T!$I$61,0))))))</f>
        <v>0</v>
      </c>
      <c r="L34" s="135">
        <f>IF(AND(C38=2,C37="L"),T!$J$56,IF(AND(C38=4,C37="L"),T!$J$57,IF(AND(C38=6,C37="L"),T!$J$58,IF(AND(C38=8,C37="L"),T!$J$59,IF(AND(C38=10,C37="L"),T!$J$60,IF(AND(C38=12,C37="L"),T!$J$61,0))))))</f>
        <v>0</v>
      </c>
      <c r="M34" s="135">
        <f>IF(AND(C38=2,C37="M"),T!$K$56,IF(AND(C38=4,C37="M"),T!$K$57,IF(AND(C38=6,C37="M"),T!$K$58,IF(AND(C38=8,C37="M"),T!$K$59,IF(AND(C38=10,C37="M"),T!$K$60,IF(AND(C38=12,C37="M"),T!$K$61,0))))))</f>
        <v>47.52</v>
      </c>
      <c r="O34" s="99">
        <f t="shared" si="18"/>
        <v>47.52</v>
      </c>
      <c r="P34" s="7">
        <f t="shared" ref="P34:P40" si="25">C$36*3600/(O34*1000)</f>
        <v>1765.1515151515152</v>
      </c>
      <c r="Q34" s="7">
        <f t="shared" si="19"/>
        <v>327592.70454545459</v>
      </c>
      <c r="R34" s="99">
        <f t="shared" si="20"/>
        <v>3868869.8406818188</v>
      </c>
    </row>
    <row r="35" spans="2:21" x14ac:dyDescent="0.25">
      <c r="B35" s="107" t="str">
        <f t="shared" ref="B35:B40" si="26">B22</f>
        <v>Tramo</v>
      </c>
      <c r="C35" s="99">
        <f>MCI!E21</f>
        <v>3</v>
      </c>
      <c r="E35" s="99" t="str">
        <f t="shared" si="21"/>
        <v>C2</v>
      </c>
      <c r="F35" s="27">
        <f t="shared" si="17"/>
        <v>7.0166666666666669E-2</v>
      </c>
      <c r="G35" s="100">
        <f t="shared" si="17"/>
        <v>1.37</v>
      </c>
      <c r="H35" s="100">
        <f t="shared" si="22"/>
        <v>0.37000000000000011</v>
      </c>
      <c r="I35" s="99">
        <f t="shared" si="23"/>
        <v>383.00475</v>
      </c>
      <c r="J35" s="21">
        <f t="shared" si="24"/>
        <v>8924010.6750000007</v>
      </c>
      <c r="K35" s="135">
        <f>IF(AND(C38=2,C37="P"),T!$I$46,IF(AND(C38=4,C37="P"),T!$I$47,IF(AND(C38=6,C37="P"),T!$I$48,IF(AND(C38=8,C37="P"),T!$I$49,IF(AND(C38=10,C37="P"),T!$I$50,IF(AND(C38=12,C37="P"),T!$I$51,0))))))</f>
        <v>0</v>
      </c>
      <c r="L35" s="135">
        <f>IF(AND(C38=2,C37="L"),T!$J$46,IF(AND(C38=4,C37="L"),T!$J$47,IF(AND(C38=6,C37="L"),T!$J$48,IF(AND(C38=8,C37="L"),T!$J$49,IF(AND(C38=10,C37="L"),T!$J$50,IF(AND(C38=12,C37="L"),T!$J$51,0))))))</f>
        <v>0</v>
      </c>
      <c r="M35" s="135">
        <f>IF(AND(C38=2,C37="M"),T!$K$46,IF(AND(C38=4,C37="M"),T!$K$47,IF(AND(C38=6,C37="M"),T!$K$48,IF(AND(C38=8,C37="M"),T!$K$49,IF(AND(C38=10,C37="M"),T!$K$50,IF(AND(C38=12,C37="M"),T!$K$51,0))))))</f>
        <v>42.09</v>
      </c>
      <c r="O35" s="99">
        <f t="shared" si="18"/>
        <v>42.09</v>
      </c>
      <c r="P35" s="7">
        <f t="shared" si="25"/>
        <v>1992.8724162508909</v>
      </c>
      <c r="Q35" s="7">
        <f t="shared" si="19"/>
        <v>763279.60156806838</v>
      </c>
      <c r="R35" s="99">
        <f t="shared" si="20"/>
        <v>282413.45258018537</v>
      </c>
    </row>
    <row r="36" spans="2:21" x14ac:dyDescent="0.25">
      <c r="B36" s="107" t="str">
        <f t="shared" si="26"/>
        <v>Longitud (m)</v>
      </c>
      <c r="C36" s="76">
        <f>MCI!E23</f>
        <v>23300</v>
      </c>
      <c r="E36" s="99" t="str">
        <f t="shared" si="21"/>
        <v>C3</v>
      </c>
      <c r="F36" s="27">
        <f t="shared" si="17"/>
        <v>2.0833333333333332E-2</v>
      </c>
      <c r="G36" s="100">
        <f t="shared" si="17"/>
        <v>1.23</v>
      </c>
      <c r="H36" s="100">
        <f t="shared" si="22"/>
        <v>0.22999999999999998</v>
      </c>
      <c r="I36" s="99">
        <f t="shared" si="23"/>
        <v>113.71875</v>
      </c>
      <c r="J36" s="21">
        <f t="shared" si="24"/>
        <v>2649646.875</v>
      </c>
      <c r="K36" s="135">
        <f>IF(AND(C38=2,C37="P"),T!$I$36,IF(AND(C38=4,C37="P"),T!$I$37,IF(AND(C38=6,C37="P"),T!$I$38,IF(AND(C38=8,C37="P"),T!$I$39,IF(AND(C38=10,C37="P"),T!$I$40,IF(AND(C38=12,C37="P"),T!$I$41,0))))))</f>
        <v>0</v>
      </c>
      <c r="L36" s="135">
        <f>IF(AND(C38=2,C37="L"),T!$J$36,IF(AND(C38=4,C37="L"),T!$J$37,IF(AND(C38=6,C37="L"),T!$J$38,IF(AND(C38=8,C37="L"),T!$J$39,IF(AND(C38=10,C37="L"),T!$J$40,IF(AND(C38=12,C37="L"),T!$J$41,0))))))</f>
        <v>0</v>
      </c>
      <c r="M36" s="135">
        <f>IF(AND(C38=2,C37="M"),T!$K$36,IF(AND(C38=4,C37="M"),T!$K$37,IF(AND(C38=6,C37="M"),T!$K$38,IF(AND(C38=8,C37="M"),T!$K$39,IF(AND(C38=10,C37="M"),T!$K$40,IF(AND(C38=12,C37="M"),T!$K$41,0))))))</f>
        <v>35.380000000000003</v>
      </c>
      <c r="O36" s="99">
        <f t="shared" si="18"/>
        <v>35.380000000000003</v>
      </c>
      <c r="P36" s="7">
        <f t="shared" si="25"/>
        <v>2370.8309779536462</v>
      </c>
      <c r="Q36" s="7">
        <f t="shared" si="19"/>
        <v>269607.93527416623</v>
      </c>
      <c r="R36" s="99">
        <f t="shared" si="20"/>
        <v>62009.825113058228</v>
      </c>
    </row>
    <row r="37" spans="2:21" x14ac:dyDescent="0.25">
      <c r="B37" s="107" t="str">
        <f t="shared" si="26"/>
        <v>Tipo de terreno</v>
      </c>
      <c r="C37" s="100" t="str">
        <f>IF(MCI!E24=LISTA!A2,"P",IF(MCI!E24=LISTA!A3,"L",IF(MCI!E24=LISTA!A4,"M",0)))</f>
        <v>M</v>
      </c>
      <c r="E37" s="99" t="str">
        <f t="shared" si="21"/>
        <v>T3S2</v>
      </c>
      <c r="F37" s="27">
        <f t="shared" si="17"/>
        <v>4.8333333333333339E-2</v>
      </c>
      <c r="G37" s="100">
        <f t="shared" si="17"/>
        <v>1.1399999999999999</v>
      </c>
      <c r="H37" s="100">
        <f t="shared" si="22"/>
        <v>0.1399999999999999</v>
      </c>
      <c r="I37" s="99">
        <f t="shared" si="23"/>
        <v>263.82750000000004</v>
      </c>
      <c r="J37" s="21">
        <f t="shared" si="24"/>
        <v>6147180.7500000009</v>
      </c>
      <c r="K37" s="135">
        <f>IF(AND(C38=2,C37="P"),T!$I$26,IF(AND(C38=4,C37="P"),T!$I$27,IF(AND(C38=6,C37="P"),T!$I$28,IF(AND(C38=8,C37="P"),T!$I$29,IF(AND(C38=10,C37="P"),T!$I$30,IF(AND(C38=12,C37="P"),T!$I$31,0))))))</f>
        <v>0</v>
      </c>
      <c r="L37" s="135">
        <f>IF(AND(C38=2,C37="L"),T!$J$26,IF(AND(C38=4,C37="L"),T!$J$27,IF(AND(C38=6,C37="L"),T!$J$28,IF(AND(C38=8,C37="L"),T!$J$29,IF(AND(C38=10,C37="L"),T!$J$30,IF(AND(C38=12,C37="L"),T!$J$31,0))))))</f>
        <v>0</v>
      </c>
      <c r="M37" s="135">
        <f>IF(AND(C38=2,C37="M"),T!$K$26,IF(AND(C38=4,C37="M"),T!$K$27,IF(AND(C38=6,C37="M"),T!$K$28,IF(AND(C38=8,C37="M"),T!$K$29,IF(AND(C38=10,C37="M"),T!$K$30,IF(AND(C38=12,C37="M"),T!$K$31,0))))))</f>
        <v>37.57</v>
      </c>
      <c r="O37" s="99">
        <f t="shared" si="18"/>
        <v>37.57</v>
      </c>
      <c r="P37" s="7">
        <f t="shared" si="25"/>
        <v>2232.6324194836307</v>
      </c>
      <c r="Q37" s="7">
        <f t="shared" si="19"/>
        <v>589029.82965131768</v>
      </c>
      <c r="R37" s="99">
        <f t="shared" si="20"/>
        <v>82464.176151184423</v>
      </c>
    </row>
    <row r="38" spans="2:21" x14ac:dyDescent="0.25">
      <c r="B38" s="107" t="str">
        <f t="shared" si="26"/>
        <v>IIR</v>
      </c>
      <c r="C38" s="77">
        <f>MCI!E25</f>
        <v>4</v>
      </c>
      <c r="E38" s="99" t="str">
        <f t="shared" si="21"/>
        <v xml:space="preserve"> T3S3</v>
      </c>
      <c r="F38" s="27">
        <f t="shared" si="17"/>
        <v>1.55E-2</v>
      </c>
      <c r="G38" s="100">
        <f t="shared" si="17"/>
        <v>1.1399999999999999</v>
      </c>
      <c r="H38" s="100">
        <f t="shared" si="22"/>
        <v>0.1399999999999999</v>
      </c>
      <c r="I38" s="99">
        <f t="shared" si="23"/>
        <v>84.606750000000005</v>
      </c>
      <c r="J38" s="21">
        <f t="shared" si="24"/>
        <v>1971337.2750000001</v>
      </c>
      <c r="K38" s="135">
        <f>IF(AND(C38=2,C37="P"),T!$I$16,IF(AND(C38=4,C37="P"),T!$I$17,IF(AND(C38=6,C37="P"),T!$I$18,IF(AND(C38=8,C37="P"),T!$I$19,IF(AND(C38=10,C37="P"),T!$I$20,IF(AND(C38=12,C37="P"),T!$I$21,0))))))</f>
        <v>0</v>
      </c>
      <c r="L38" s="135">
        <f>IF(AND(C38=2,C37="L"),T!$J$16,IF(AND(C38=4,C37="L"),T!$J$17,IF(AND(C38=6,C37="L"),T!$J$18,IF(AND(C38=8,C37="L"),T!$J$19,IF(AND(C38=10,C37="L"),T!$J$20,IF(AND(C38=12,C37="L"),T!$J$21,0))))))</f>
        <v>0</v>
      </c>
      <c r="M38" s="135">
        <f>IF(AND(C38=2,C37="M"),T!$K$16,IF(AND(C38=4,C37="M"),T!$K$17,IF(AND(C38=6,C37="M"),T!$K$18,IF(AND(C38=8,C37="M"),T!$K$19,IF(AND(C38=10,C37="M"),T!$K$20,IF(AND(C38=12,C37="M"),T!$K$21,0))))))</f>
        <v>32.21</v>
      </c>
      <c r="O38" s="99">
        <f t="shared" si="18"/>
        <v>32.21</v>
      </c>
      <c r="P38" s="7">
        <f t="shared" si="25"/>
        <v>2604.1601986960573</v>
      </c>
      <c r="Q38" s="7">
        <f t="shared" si="19"/>
        <v>220329.53089102765</v>
      </c>
      <c r="R38" s="99">
        <f t="shared" si="20"/>
        <v>30846.134324743849</v>
      </c>
    </row>
    <row r="39" spans="2:21" x14ac:dyDescent="0.25">
      <c r="B39" s="107" t="str">
        <f t="shared" si="26"/>
        <v>Descripción</v>
      </c>
      <c r="C39" s="104" t="str">
        <f>MCI!E22</f>
        <v>Atlacomulco - Acambay (40D)</v>
      </c>
      <c r="E39" s="99" t="str">
        <f t="shared" si="21"/>
        <v xml:space="preserve"> T3S2R4</v>
      </c>
      <c r="F39" s="27">
        <f t="shared" si="17"/>
        <v>1.0166666666666666E-2</v>
      </c>
      <c r="G39" s="100">
        <f t="shared" si="17"/>
        <v>1.0900000000000001</v>
      </c>
      <c r="H39" s="100">
        <f t="shared" si="22"/>
        <v>9.000000000000008E-2</v>
      </c>
      <c r="I39" s="99">
        <f t="shared" si="23"/>
        <v>55.494749999999996</v>
      </c>
      <c r="J39" s="21">
        <f t="shared" si="24"/>
        <v>1293027.6749999998</v>
      </c>
      <c r="K39" s="135">
        <f>IF(AND(C38=2,C37="P"),T!$I$6,IF(AND(C38=4,C37="P"),T!$I$7,IF(AND(C38=6,C37="P"),T!$I$8,IF(AND(C38=8,C37="P"),T!$I$9,IF(AND(C38=10,C37="P"),T!$I$10,IF(AND(C38=12,C37="P"),T!$I$11,0))))))</f>
        <v>0</v>
      </c>
      <c r="L39" s="135">
        <f>IF(AND(C38=2,C37="L"),T!$J$6,IF(AND(C38=4,C37="L"),T!$J$7,IF(AND(C38=6,C37="L"),T!$J$8,IF(AND(C38=8,C37="L"),T!$J$9,IF(AND(C38=10,C37="L"),T!$J$10,IF(AND(C38=12,C37="L"),T!$J$11,0))))))</f>
        <v>0</v>
      </c>
      <c r="M39" s="135">
        <f>IF(AND(C38=2,C37="M"),T!$K$6,IF(AND(C38=4,C37="M"),T!$K$7,IF(AND(C38=6,C37="M"),T!$K$8,IF(AND(C38=8,C37="M"),T!$K$9,IF(AND(C38=10,C37="M"),T!$K$10,IF(AND(C38=12,C37="M"),T!$K$11,0))))))</f>
        <v>25.16</v>
      </c>
      <c r="O39" s="99">
        <f t="shared" si="18"/>
        <v>25.16</v>
      </c>
      <c r="P39" s="7">
        <f>C$36*3600/(O39*1000)</f>
        <v>3333.8632750397455</v>
      </c>
      <c r="Q39" s="7">
        <f t="shared" si="19"/>
        <v>185011.9089825119</v>
      </c>
      <c r="R39" s="99">
        <f t="shared" si="20"/>
        <v>16651.071808426084</v>
      </c>
    </row>
    <row r="40" spans="2:21" x14ac:dyDescent="0.25">
      <c r="B40" s="107" t="str">
        <f t="shared" si="26"/>
        <v>TDPARP (vpd)</v>
      </c>
      <c r="C40" s="100">
        <f>C27</f>
        <v>5458.5</v>
      </c>
      <c r="E40" s="99" t="str">
        <f t="shared" si="21"/>
        <v xml:space="preserve"> OTROS</v>
      </c>
      <c r="F40" s="27">
        <f t="shared" si="17"/>
        <v>3.0000000000000768E-3</v>
      </c>
      <c r="G40" s="100">
        <f t="shared" si="17"/>
        <v>1.0900000000000001</v>
      </c>
      <c r="H40" s="100">
        <f t="shared" si="22"/>
        <v>9.000000000000008E-2</v>
      </c>
      <c r="I40" s="99">
        <f t="shared" si="23"/>
        <v>16.375500000000418</v>
      </c>
      <c r="J40" s="21">
        <f t="shared" si="24"/>
        <v>381549.15000000974</v>
      </c>
      <c r="K40" s="99"/>
      <c r="L40" s="99"/>
      <c r="M40" s="99"/>
      <c r="O40" s="140">
        <f>AVERAGE(O33:O39)</f>
        <v>38.769999999999996</v>
      </c>
      <c r="P40" s="7">
        <f t="shared" si="25"/>
        <v>2163.5285014186229</v>
      </c>
      <c r="Q40" s="7">
        <f t="shared" si="19"/>
        <v>35428.860974981566</v>
      </c>
      <c r="R40" s="99">
        <f t="shared" si="20"/>
        <v>3188.5974877483436</v>
      </c>
    </row>
    <row r="41" spans="2:21" x14ac:dyDescent="0.25">
      <c r="E41" s="19"/>
      <c r="F41" s="43"/>
      <c r="G41" s="43"/>
      <c r="H41" s="43"/>
      <c r="I41" s="19"/>
      <c r="J41" s="44"/>
      <c r="Q41" s="82" t="s">
        <v>17</v>
      </c>
      <c r="R41" s="99">
        <f>SUM(R33:R40)</f>
        <v>13434579.058722368</v>
      </c>
    </row>
    <row r="43" spans="2:21" x14ac:dyDescent="0.25">
      <c r="E43" s="99" t="s">
        <v>19</v>
      </c>
      <c r="F43" s="82" t="s">
        <v>24</v>
      </c>
      <c r="G43" s="82" t="s">
        <v>41</v>
      </c>
      <c r="H43" s="82" t="s">
        <v>290</v>
      </c>
      <c r="I43" s="82" t="s">
        <v>20</v>
      </c>
      <c r="J43" s="97" t="s">
        <v>36</v>
      </c>
      <c r="K43" s="99"/>
      <c r="L43" s="99"/>
      <c r="M43" s="99"/>
      <c r="O43" s="97" t="s">
        <v>21</v>
      </c>
      <c r="P43" s="82" t="s">
        <v>292</v>
      </c>
      <c r="Q43" s="82" t="s">
        <v>77</v>
      </c>
      <c r="R43" s="82" t="s">
        <v>42</v>
      </c>
    </row>
    <row r="44" spans="2:21" x14ac:dyDescent="0.25">
      <c r="E44" s="352" t="s">
        <v>1</v>
      </c>
      <c r="F44" s="99" t="s">
        <v>6</v>
      </c>
      <c r="G44" s="142" t="s">
        <v>309</v>
      </c>
      <c r="H44" s="142" t="str">
        <f>G44</f>
        <v>(persona/veh)</v>
      </c>
      <c r="I44" s="99" t="s">
        <v>7</v>
      </c>
      <c r="J44" s="234" t="str">
        <f>J31</f>
        <v>(m)</v>
      </c>
      <c r="K44" s="99"/>
      <c r="L44" s="99"/>
      <c r="M44" s="99"/>
      <c r="O44" s="99" t="s">
        <v>8</v>
      </c>
      <c r="P44" s="99" t="s">
        <v>11</v>
      </c>
      <c r="Q44" s="99" t="s">
        <v>287</v>
      </c>
      <c r="R44" s="99" t="s">
        <v>9</v>
      </c>
    </row>
    <row r="45" spans="2:21" ht="75" x14ac:dyDescent="0.25">
      <c r="E45" s="352"/>
      <c r="F45" s="96" t="s">
        <v>5</v>
      </c>
      <c r="G45" s="96" t="s">
        <v>112</v>
      </c>
      <c r="H45" s="96" t="s">
        <v>289</v>
      </c>
      <c r="I45" s="96" t="s">
        <v>3</v>
      </c>
      <c r="J45" s="96" t="s">
        <v>143</v>
      </c>
      <c r="K45" s="99"/>
      <c r="L45" s="99"/>
      <c r="M45" s="99"/>
      <c r="O45" s="96" t="s">
        <v>4</v>
      </c>
      <c r="P45" s="96" t="s">
        <v>10</v>
      </c>
      <c r="Q45" s="96" t="s">
        <v>288</v>
      </c>
      <c r="R45" s="96" t="s">
        <v>12</v>
      </c>
    </row>
    <row r="46" spans="2:21" x14ac:dyDescent="0.25">
      <c r="E46" s="99" t="str">
        <f>E33</f>
        <v>A</v>
      </c>
      <c r="F46" s="27">
        <f t="shared" ref="F46:G53" si="27">F33</f>
        <v>0.79800000000000004</v>
      </c>
      <c r="G46" s="100">
        <f>G33</f>
        <v>2.2799999999999998</v>
      </c>
      <c r="H46" s="100">
        <f>G46-1</f>
        <v>1.2799999999999998</v>
      </c>
      <c r="I46" s="99">
        <f>F46*$C$53</f>
        <v>4355.8829999999998</v>
      </c>
      <c r="J46" s="21">
        <f>I46*$C$49</f>
        <v>234782093.69999999</v>
      </c>
      <c r="K46" s="135">
        <f>IF(AND(C51=2,C50="P"),T!$I$66,IF(AND(C51=4,C50="P"),T!$I$67,IF(AND(C51=6,C50="P"),T!$I$68,IF(AND(C51=8,C50="P"),T!$I$69,IF(AND(C51=10,C50="P"),T!$I$70,IF(AND(C51=12,C50="P"),T!$I$71,0))))))</f>
        <v>0</v>
      </c>
      <c r="L46" s="135">
        <f>IF(AND(C51=2,C50="L"),T!$J$66,IF(AND(C51=4,C50="L"),T!$J$67,IF(AND(C51=6,C50="L"),T!$J$68,IF(AND(C51=8,C50="L"),T!$J$69,IF(AND(C51=10,C50="L"),T!$J$70,IF(AND(C51=12,C50="L"),T!$J$71,0))))))</f>
        <v>0</v>
      </c>
      <c r="M46" s="135">
        <f>IF(AND(C51=2,C50="M"),T!$K$66,IF(AND(C51=4,C50="M"),T!$K$67,IF(AND(C51=6,C50="M"),T!$K$68,IF(AND(C51=8,C50="M"),T!$K$69,IF(AND(C51=10,C50="M"),T!$K$70,IF(AND(C51=12,C50="M"),T!$K$71,0))))))</f>
        <v>51.46</v>
      </c>
      <c r="O46" s="99">
        <f t="shared" ref="O46:O52" si="28">SUM(K46:M46)</f>
        <v>51.46</v>
      </c>
      <c r="P46" s="7">
        <f>C$49*3600/(O46*1000)</f>
        <v>3770.6956859696852</v>
      </c>
      <c r="Q46" s="7">
        <f t="shared" ref="Q46:Q53" si="29">P46*I46</f>
        <v>16424709.23668869</v>
      </c>
      <c r="R46" s="99">
        <f t="shared" ref="R46:R53" si="30">Q46*H46</f>
        <v>21023627.82296152</v>
      </c>
      <c r="U46" s="122"/>
    </row>
    <row r="47" spans="2:21" x14ac:dyDescent="0.25">
      <c r="E47" s="99" t="str">
        <f t="shared" ref="E47:E53" si="31">E34</f>
        <v xml:space="preserve"> B</v>
      </c>
      <c r="F47" s="27">
        <f t="shared" si="27"/>
        <v>3.4000000000000002E-2</v>
      </c>
      <c r="G47" s="100">
        <f t="shared" si="27"/>
        <v>12.81</v>
      </c>
      <c r="H47" s="100">
        <f t="shared" ref="H47:H53" si="32">G47-1</f>
        <v>11.81</v>
      </c>
      <c r="I47" s="99">
        <f t="shared" ref="I47:I52" si="33">F47*$C$53</f>
        <v>185.58900000000003</v>
      </c>
      <c r="J47" s="21">
        <f t="shared" ref="J47:J52" si="34">I47*$C$49</f>
        <v>10003247.100000001</v>
      </c>
      <c r="K47" s="135">
        <f>IF(AND(C51=2,C50="P"),T!$I$56,IF(AND(C51=4,C50="P"),T!$I$57,IF(AND(C51=6,C50="P"),T!$I$58,IF(AND(C51=8,C50="P"),T!$I$59,IF(AND(C51=10,C50="P"),T!$I$60,IF(AND(C51=12,C50="P"),T!$I$61,0))))))</f>
        <v>0</v>
      </c>
      <c r="L47" s="135">
        <f>IF(AND(C51=2,C50="L"),T!$J$56,IF(AND(C51=4,C50="L"),T!$J$57,IF(AND(C51=6,C50="L"),T!$J$58,IF(AND(C51=8,C50="L"),T!$J$59,IF(AND(C51=10,C50="L"),T!$J$60,IF(AND(C51=12,C50="L"),T!$J$61,0))))))</f>
        <v>0</v>
      </c>
      <c r="M47" s="135">
        <f>IF(AND(C51=2,C50="M"),T!$K$56,IF(AND(C51=4,C50="M"),T!$K$57,IF(AND(C51=6,C50="M"),T!$K$58,IF(AND(C51=8,C50="M"),T!$K$59,IF(AND(C51=10,C50="M"),T!$K$60,IF(AND(C51=12,C50="M"),T!$K$61,0))))))</f>
        <v>47.52</v>
      </c>
      <c r="O47" s="99">
        <f t="shared" si="28"/>
        <v>47.52</v>
      </c>
      <c r="P47" s="7">
        <f t="shared" ref="P47:P52" si="35">C$49*3600/(O47*1000)</f>
        <v>4083.3333333333335</v>
      </c>
      <c r="Q47" s="7">
        <f t="shared" si="29"/>
        <v>757821.75000000012</v>
      </c>
      <c r="R47" s="99">
        <f t="shared" si="30"/>
        <v>8949874.8675000016</v>
      </c>
    </row>
    <row r="48" spans="2:21" x14ac:dyDescent="0.25">
      <c r="B48" s="107" t="str">
        <f t="shared" ref="B48:B53" si="36">B35</f>
        <v>Tramo</v>
      </c>
      <c r="C48" s="99">
        <f>MCI!F21</f>
        <v>4</v>
      </c>
      <c r="E48" s="99" t="str">
        <f t="shared" si="31"/>
        <v>C2</v>
      </c>
      <c r="F48" s="27">
        <f t="shared" si="27"/>
        <v>7.0166666666666669E-2</v>
      </c>
      <c r="G48" s="100">
        <f t="shared" si="27"/>
        <v>1.37</v>
      </c>
      <c r="H48" s="100">
        <f t="shared" si="32"/>
        <v>0.37000000000000011</v>
      </c>
      <c r="I48" s="99">
        <f t="shared" si="33"/>
        <v>383.00475</v>
      </c>
      <c r="J48" s="21">
        <f t="shared" si="34"/>
        <v>20643956.024999999</v>
      </c>
      <c r="K48" s="135">
        <f>IF(AND(C51=2,C50="P"),T!$I$46,IF(AND(C51=4,C50="P"),T!$I$47,IF(AND(C51=6,C50="P"),T!$I$48,IF(AND(C51=8,C50="P"),T!$I$49,IF(AND(C51=10,C50="P"),T!$I$50,IF(AND(C51=12,C50="P"),T!$I$51,0))))))</f>
        <v>0</v>
      </c>
      <c r="L48" s="135">
        <f>IF(AND(C51=2,C50="L"),T!$J$46,IF(AND(C51=4,C50="L"),T!$J$47,IF(AND(C51=6,C50="L"),T!$J$48,IF(AND(C51=8,C50="L"),T!$J$49,IF(AND(C51=10,C50="L"),T!$J$50,IF(AND(C51=12,C50="L"),T!$J$51,0))))))</f>
        <v>0</v>
      </c>
      <c r="M48" s="135">
        <f>IF(AND(C51=2,C50="M"),T!$K$46,IF(AND(C51=4,C50="M"),T!$K$47,IF(AND(C51=6,C50="M"),T!$K$48,IF(AND(C51=8,C50="M"),T!$K$49,IF(AND(C51=10,C50="M"),T!$K$50,IF(AND(C51=12,C50="M"),T!$K$51,0))))))</f>
        <v>42.09</v>
      </c>
      <c r="O48" s="99">
        <f t="shared" si="28"/>
        <v>42.09</v>
      </c>
      <c r="P48" s="7">
        <f t="shared" si="35"/>
        <v>4610.1211689237352</v>
      </c>
      <c r="Q48" s="7">
        <f t="shared" si="29"/>
        <v>1765698.305773343</v>
      </c>
      <c r="R48" s="99">
        <f t="shared" si="30"/>
        <v>653308.37313613703</v>
      </c>
    </row>
    <row r="49" spans="2:21" x14ac:dyDescent="0.25">
      <c r="B49" s="107" t="str">
        <f t="shared" si="36"/>
        <v>Longitud (m)</v>
      </c>
      <c r="C49" s="76">
        <f>MCI!F23</f>
        <v>53900</v>
      </c>
      <c r="E49" s="99" t="str">
        <f t="shared" si="31"/>
        <v>C3</v>
      </c>
      <c r="F49" s="27">
        <f t="shared" si="27"/>
        <v>2.0833333333333332E-2</v>
      </c>
      <c r="G49" s="100">
        <f t="shared" si="27"/>
        <v>1.23</v>
      </c>
      <c r="H49" s="100">
        <f t="shared" si="32"/>
        <v>0.22999999999999998</v>
      </c>
      <c r="I49" s="99">
        <f t="shared" si="33"/>
        <v>113.71875</v>
      </c>
      <c r="J49" s="21">
        <f t="shared" si="34"/>
        <v>6129440.625</v>
      </c>
      <c r="K49" s="135">
        <f>IF(AND(C51=2,C50="P"),T!$I$36,IF(AND(C51=4,C50="P"),T!$I$37,IF(AND(C51=6,C50="P"),T!$I$38,IF(AND(C51=8,C50="P"),T!$I$39,IF(AND(C51=10,C50="P"),T!$I$40,IF(AND(C51=12,C50="P"),T!$I$41,0))))))</f>
        <v>0</v>
      </c>
      <c r="L49" s="135">
        <f>IF(AND(C51=2,C50="L"),T!$J$36,IF(AND(C51=4,C50="L"),T!$J$37,IF(AND(C51=6,C50="L"),T!$J$38,IF(AND(C51=8,C50="L"),T!$J$39,IF(AND(C51=10,C50="L"),T!$J$40,IF(AND(C51=12,C50="L"),T!$J$41,0))))))</f>
        <v>0</v>
      </c>
      <c r="M49" s="135">
        <f>IF(AND(C51=2,C50="M"),T!$K$36,IF(AND(C51=4,C50="M"),T!$K$37,IF(AND(C51=6,C50="M"),T!$K$38,IF(AND(C51=8,C50="M"),T!$K$39,IF(AND(C51=10,C50="M"),T!$K$40,IF(AND(C51=12,C50="M"),T!$K$41,0))))))</f>
        <v>35.380000000000003</v>
      </c>
      <c r="O49" s="99">
        <f t="shared" si="28"/>
        <v>35.380000000000003</v>
      </c>
      <c r="P49" s="7">
        <f t="shared" si="35"/>
        <v>5484.4544940644428</v>
      </c>
      <c r="Q49" s="7">
        <f t="shared" si="29"/>
        <v>623685.30949689087</v>
      </c>
      <c r="R49" s="99">
        <f t="shared" si="30"/>
        <v>143447.62118428489</v>
      </c>
    </row>
    <row r="50" spans="2:21" x14ac:dyDescent="0.25">
      <c r="B50" s="107" t="str">
        <f t="shared" si="36"/>
        <v>Tipo de terreno</v>
      </c>
      <c r="C50" s="100" t="str">
        <f>IF(MCI!F24=LISTA!A2,"P",IF(MCI!F24=LISTA!A3,"L",IF(MCI!F24=LISTA!A4,"M",0)))</f>
        <v>M</v>
      </c>
      <c r="E50" s="99" t="str">
        <f t="shared" si="31"/>
        <v>T3S2</v>
      </c>
      <c r="F50" s="27">
        <f t="shared" si="27"/>
        <v>4.8333333333333339E-2</v>
      </c>
      <c r="G50" s="100">
        <f t="shared" si="27"/>
        <v>1.1399999999999999</v>
      </c>
      <c r="H50" s="100">
        <f t="shared" si="32"/>
        <v>0.1399999999999999</v>
      </c>
      <c r="I50" s="99">
        <f t="shared" si="33"/>
        <v>263.82750000000004</v>
      </c>
      <c r="J50" s="21">
        <f t="shared" si="34"/>
        <v>14220302.250000002</v>
      </c>
      <c r="K50" s="135">
        <f>IF(AND(C51=2,C50="P"),T!$I$26,IF(AND(C51=4,C50="P"),T!$I$27,IF(AND(C51=6,C50="P"),T!$I$28,IF(AND(C51=8,C50="P"),T!$I$29,IF(AND(C51=10,C50="P"),T!$I$30,IF(AND(C51=12,C50="P"),T!$I$31,0))))))</f>
        <v>0</v>
      </c>
      <c r="L50" s="135">
        <f>IF(AND(C51=2,C50="L"),T!$J$26,IF(AND(C51=4,C50="L"),T!$J$27,IF(AND(C51=6,C50="L"),T!$J$28,IF(AND(C51=8,C50="L"),T!$J$29,IF(AND(C51=10,C50="L"),T!$J$30,IF(AND(C51=12,C50="L"),T!$J$31,0))))))</f>
        <v>0</v>
      </c>
      <c r="M50" s="135">
        <f>IF(AND(C51=2,C50="M"),T!$K$26,IF(AND(C51=4,C50="M"),T!$K$27,IF(AND(C51=6,C50="M"),T!$K$28,IF(AND(C51=8,C50="M"),T!$K$29,IF(AND(C51=10,C50="M"),T!$K$30,IF(AND(C51=12,C50="M"),T!$K$31,0))))))</f>
        <v>37.57</v>
      </c>
      <c r="O50" s="99">
        <f t="shared" si="28"/>
        <v>37.57</v>
      </c>
      <c r="P50" s="7">
        <f t="shared" si="35"/>
        <v>5164.7591163162097</v>
      </c>
      <c r="Q50" s="7">
        <f t="shared" si="29"/>
        <v>1362605.4857599151</v>
      </c>
      <c r="R50" s="99">
        <f t="shared" si="30"/>
        <v>190764.76800638798</v>
      </c>
    </row>
    <row r="51" spans="2:21" x14ac:dyDescent="0.25">
      <c r="B51" s="107" t="str">
        <f t="shared" si="36"/>
        <v>IIR</v>
      </c>
      <c r="C51" s="77">
        <f>MCI!F25</f>
        <v>4</v>
      </c>
      <c r="E51" s="99" t="str">
        <f t="shared" si="31"/>
        <v xml:space="preserve"> T3S3</v>
      </c>
      <c r="F51" s="27">
        <f t="shared" si="27"/>
        <v>1.55E-2</v>
      </c>
      <c r="G51" s="100">
        <f t="shared" si="27"/>
        <v>1.1399999999999999</v>
      </c>
      <c r="H51" s="100">
        <f t="shared" si="32"/>
        <v>0.1399999999999999</v>
      </c>
      <c r="I51" s="99">
        <f t="shared" si="33"/>
        <v>84.606750000000005</v>
      </c>
      <c r="J51" s="21">
        <f t="shared" si="34"/>
        <v>4560303.8250000002</v>
      </c>
      <c r="K51" s="135">
        <f>IF(AND(C51=2,C50="P"),T!$I$16,IF(AND(C51=4,C50="P"),T!$I$17,IF(AND(C51=6,C50="P"),T!$I$18,IF(AND(C51=8,C50="P"),T!$I$19,IF(AND(C51=10,C50="P"),T!$I$20,IF(AND(C51=12,C50="P"),T!$I$21,0))))))</f>
        <v>0</v>
      </c>
      <c r="L51" s="135">
        <f>IF(AND(C51=2,C50="L"),T!$J$16,IF(AND(C51=4,C50="L"),T!$J$17,IF(AND(C51=6,C50="L"),T!$J$18,IF(AND(C51=8,C50="L"),T!$J$19,IF(AND(C51=10,C50="L"),T!$J$20,IF(AND(C51=12,C50="L"),T!$J$21,0))))))</f>
        <v>0</v>
      </c>
      <c r="M51" s="135">
        <f>IF(AND(C51=2,C50="M"),T!$K$16,IF(AND(C51=4,C50="M"),T!$K$17,IF(AND(C51=6,C50="M"),T!$K$18,IF(AND(C51=8,C50="M"),T!$K$19,IF(AND(C51=10,C50="M"),T!$K$20,IF(AND(C51=12,C50="M"),T!$K$21,0))))))</f>
        <v>32.21</v>
      </c>
      <c r="O51" s="99">
        <f t="shared" si="28"/>
        <v>32.21</v>
      </c>
      <c r="P51" s="7">
        <f t="shared" si="35"/>
        <v>6024.216081962124</v>
      </c>
      <c r="Q51" s="7">
        <f t="shared" si="29"/>
        <v>509689.34399254899</v>
      </c>
      <c r="R51" s="99">
        <f t="shared" si="30"/>
        <v>71356.508158956814</v>
      </c>
    </row>
    <row r="52" spans="2:21" x14ac:dyDescent="0.25">
      <c r="B52" s="107" t="str">
        <f t="shared" si="36"/>
        <v>Descripción</v>
      </c>
      <c r="C52" s="104" t="str">
        <f>MCI!F22</f>
        <v>Acambay - Palmillas (57)</v>
      </c>
      <c r="E52" s="99" t="str">
        <f t="shared" si="31"/>
        <v xml:space="preserve"> T3S2R4</v>
      </c>
      <c r="F52" s="27">
        <f t="shared" si="27"/>
        <v>1.0166666666666666E-2</v>
      </c>
      <c r="G52" s="100">
        <f t="shared" si="27"/>
        <v>1.0900000000000001</v>
      </c>
      <c r="H52" s="100">
        <f t="shared" si="32"/>
        <v>9.000000000000008E-2</v>
      </c>
      <c r="I52" s="99">
        <f t="shared" si="33"/>
        <v>55.494749999999996</v>
      </c>
      <c r="J52" s="21">
        <f t="shared" si="34"/>
        <v>2991167.0249999999</v>
      </c>
      <c r="K52" s="135">
        <f>IF(AND(C51=2,C50="P"),T!$I$6,IF(AND(C51=4,C50="P"),T!$I$7,IF(AND(C51=6,C50="P"),T!$I$8,IF(AND(C51=8,C50="P"),T!$I$9,IF(AND(C51=10,C50="P"),T!$I$10,IF(AND(C51=12,C50="P"),T!$I$11,0))))))</f>
        <v>0</v>
      </c>
      <c r="L52" s="135">
        <f>IF(AND(C51=2,C50="L"),T!$J$6,IF(AND(C51=4,C50="L"),T!$J$7,IF(AND(C51=6,C50="L"),T!$J$8,IF(AND(C51=8,C50="L"),T!$J$9,IF(AND(C51=10,C50="L"),T!$J$10,IF(AND(C51=12,C50="L"),T!$J$11,0))))))</f>
        <v>0</v>
      </c>
      <c r="M52" s="135">
        <f>IF(AND(C51=2,C50="M"),T!$K$6,IF(AND(C51=4,C50="M"),T!$K$7,IF(AND(C51=6,C50="M"),T!$K$8,IF(AND(C51=8,C50="M"),T!$K$9,IF(AND(C51=10,C50="M"),T!$K$10,IF(AND(C51=12,C50="M"),T!$K$11,0))))))</f>
        <v>25.16</v>
      </c>
      <c r="O52" s="99">
        <f t="shared" si="28"/>
        <v>25.16</v>
      </c>
      <c r="P52" s="7">
        <f t="shared" si="35"/>
        <v>7712.2416534181239</v>
      </c>
      <c r="Q52" s="7">
        <f t="shared" si="29"/>
        <v>427988.92249602539</v>
      </c>
      <c r="R52" s="99">
        <f t="shared" si="30"/>
        <v>38519.003024642319</v>
      </c>
    </row>
    <row r="53" spans="2:21" x14ac:dyDescent="0.25">
      <c r="B53" s="107" t="str">
        <f t="shared" si="36"/>
        <v>TDPARP (vpd)</v>
      </c>
      <c r="C53" s="100">
        <f>C40</f>
        <v>5458.5</v>
      </c>
      <c r="E53" s="99" t="str">
        <f t="shared" si="31"/>
        <v xml:space="preserve"> OTROS</v>
      </c>
      <c r="F53" s="27">
        <f t="shared" si="27"/>
        <v>3.0000000000000768E-3</v>
      </c>
      <c r="G53" s="100">
        <f t="shared" si="27"/>
        <v>1.0900000000000001</v>
      </c>
      <c r="H53" s="100">
        <f t="shared" si="32"/>
        <v>9.000000000000008E-2</v>
      </c>
      <c r="I53" s="99">
        <f>F53*$C$53</f>
        <v>16.375500000000418</v>
      </c>
      <c r="J53" s="21">
        <f>I53*$C$49</f>
        <v>882639.45000002254</v>
      </c>
      <c r="K53" s="99"/>
      <c r="L53" s="99"/>
      <c r="M53" s="99"/>
      <c r="O53" s="140">
        <f>AVERAGE(O46:O52)</f>
        <v>38.769999999999996</v>
      </c>
      <c r="P53" s="7">
        <f>C$49*3600/(O53*1000)</f>
        <v>5004.9006964147547</v>
      </c>
      <c r="Q53" s="7">
        <f t="shared" si="29"/>
        <v>81957.751354141903</v>
      </c>
      <c r="R53" s="99">
        <f t="shared" si="30"/>
        <v>7376.1976218727777</v>
      </c>
    </row>
    <row r="54" spans="2:21" x14ac:dyDescent="0.25">
      <c r="E54" s="19"/>
      <c r="F54" s="43"/>
      <c r="G54" s="43"/>
      <c r="H54" s="43"/>
      <c r="I54" s="19"/>
      <c r="J54" s="44"/>
      <c r="Q54" s="82" t="s">
        <v>17</v>
      </c>
      <c r="R54" s="99">
        <f>SUM(R46:R53)</f>
        <v>31078275.161593806</v>
      </c>
    </row>
    <row r="56" spans="2:21" x14ac:dyDescent="0.25">
      <c r="E56" s="99" t="s">
        <v>19</v>
      </c>
      <c r="F56" s="82" t="s">
        <v>24</v>
      </c>
      <c r="G56" s="82" t="s">
        <v>41</v>
      </c>
      <c r="H56" s="82" t="s">
        <v>290</v>
      </c>
      <c r="I56" s="82" t="s">
        <v>20</v>
      </c>
      <c r="J56" s="97" t="s">
        <v>36</v>
      </c>
      <c r="K56" s="99"/>
      <c r="L56" s="99"/>
      <c r="M56" s="99"/>
      <c r="O56" s="97" t="s">
        <v>21</v>
      </c>
      <c r="P56" s="82" t="s">
        <v>292</v>
      </c>
      <c r="Q56" s="82" t="s">
        <v>77</v>
      </c>
      <c r="R56" s="82" t="s">
        <v>42</v>
      </c>
    </row>
    <row r="57" spans="2:21" x14ac:dyDescent="0.25">
      <c r="E57" s="352" t="s">
        <v>1</v>
      </c>
      <c r="F57" s="99" t="s">
        <v>6</v>
      </c>
      <c r="G57" s="142" t="s">
        <v>309</v>
      </c>
      <c r="H57" s="142" t="str">
        <f>G57</f>
        <v>(persona/veh)</v>
      </c>
      <c r="I57" s="99" t="s">
        <v>7</v>
      </c>
      <c r="J57" s="234" t="str">
        <f>J44</f>
        <v>(m)</v>
      </c>
      <c r="K57" s="99"/>
      <c r="L57" s="99"/>
      <c r="M57" s="99"/>
      <c r="O57" s="99" t="s">
        <v>8</v>
      </c>
      <c r="P57" s="99" t="s">
        <v>11</v>
      </c>
      <c r="Q57" s="99" t="s">
        <v>287</v>
      </c>
      <c r="R57" s="99" t="s">
        <v>9</v>
      </c>
    </row>
    <row r="58" spans="2:21" ht="75" x14ac:dyDescent="0.25">
      <c r="E58" s="352"/>
      <c r="F58" s="96" t="s">
        <v>5</v>
      </c>
      <c r="G58" s="96" t="s">
        <v>112</v>
      </c>
      <c r="H58" s="96" t="s">
        <v>289</v>
      </c>
      <c r="I58" s="96" t="s">
        <v>3</v>
      </c>
      <c r="J58" s="96" t="s">
        <v>143</v>
      </c>
      <c r="K58" s="99"/>
      <c r="L58" s="99"/>
      <c r="M58" s="99"/>
      <c r="O58" s="96" t="s">
        <v>4</v>
      </c>
      <c r="P58" s="96" t="s">
        <v>10</v>
      </c>
      <c r="Q58" s="96" t="s">
        <v>288</v>
      </c>
      <c r="R58" s="96" t="s">
        <v>12</v>
      </c>
    </row>
    <row r="59" spans="2:21" x14ac:dyDescent="0.25">
      <c r="E59" s="99" t="str">
        <f>E46</f>
        <v>A</v>
      </c>
      <c r="F59" s="27">
        <f t="shared" ref="F59:G66" si="37">F46</f>
        <v>0.79800000000000004</v>
      </c>
      <c r="G59" s="100">
        <f>G46</f>
        <v>2.2799999999999998</v>
      </c>
      <c r="H59" s="100">
        <f>G59-1</f>
        <v>1.2799999999999998</v>
      </c>
      <c r="I59" s="99">
        <f>F59*$C$66</f>
        <v>4355.8829999999998</v>
      </c>
      <c r="J59" s="21">
        <f>I59*$C$62</f>
        <v>361973877.30000001</v>
      </c>
      <c r="K59" s="135">
        <f>IF(AND(C64=2,C63="P"),T!$I$66,IF(AND(C64=4,C63="P"),T!$I$67,IF(AND(C64=6,C63="P"),T!$I$68,IF(AND(C64=8,C63="P"),T!$I$69,IF(AND(C64=10,C63="P"),T!$I$70,IF(AND(C64=12,C63="P"),T!$I$71,0))))))</f>
        <v>0</v>
      </c>
      <c r="L59" s="135">
        <f>IF(AND(C64=2,C63="L"),T!$J$66,IF(AND(C64=4,C63="L"),T!$J$67,IF(AND(C64=6,C63="L"),T!$J$68,IF(AND(C64=8,C63="L"),T!$J$69,IF(AND(C64=10,C63="L"),T!$J$70,IF(AND(C64=12,C63="L"),T!$J$71,0))))))</f>
        <v>60.9</v>
      </c>
      <c r="M59" s="135">
        <f>IF(AND(C64=2,C63="M"),T!$K$66,IF(AND(C64=4,C63="M"),T!$K$67,IF(AND(C64=6,C63="M"),T!$K$68,IF(AND(C64=8,C63="M"),T!$K$69,IF(AND(C64=10,C63="M"),T!$K$70,IF(AND(C64=12,C63="M"),T!$K$71,0))))))</f>
        <v>0</v>
      </c>
      <c r="O59" s="99">
        <f t="shared" ref="O59:O65" si="38">SUM(K59:M59)</f>
        <v>60.9</v>
      </c>
      <c r="P59" s="7">
        <f>C$62*3600/(O59*1000)</f>
        <v>4912.3152709359601</v>
      </c>
      <c r="Q59" s="7">
        <f t="shared" ref="Q59:Q66" si="39">P59*I59</f>
        <v>21397470.579310343</v>
      </c>
      <c r="R59" s="99">
        <f t="shared" ref="R59:R66" si="40">Q59*H59</f>
        <v>27388762.341517236</v>
      </c>
      <c r="U59" s="122"/>
    </row>
    <row r="60" spans="2:21" x14ac:dyDescent="0.25">
      <c r="E60" s="99" t="str">
        <f t="shared" ref="E60:E66" si="41">E47</f>
        <v xml:space="preserve"> B</v>
      </c>
      <c r="F60" s="27">
        <f t="shared" si="37"/>
        <v>3.4000000000000002E-2</v>
      </c>
      <c r="G60" s="100">
        <f t="shared" si="37"/>
        <v>12.81</v>
      </c>
      <c r="H60" s="100">
        <f t="shared" ref="H60:H66" si="42">G60-1</f>
        <v>11.81</v>
      </c>
      <c r="I60" s="99">
        <f t="shared" ref="I60:I65" si="43">F60*$C$66</f>
        <v>185.58900000000003</v>
      </c>
      <c r="J60" s="21">
        <f t="shared" ref="J60:J65" si="44">I60*$C$62</f>
        <v>15422445.900000002</v>
      </c>
      <c r="K60" s="135">
        <f>IF(AND(C64=2,C63="P"),T!$I$56,IF(AND(C64=4,C63="P"),T!$I$57,IF(AND(C64=6,C63="P"),T!$I$58,IF(AND(C64=8,C63="P"),T!$I$59,IF(AND(C64=10,C63="P"),T!$I$60,IF(AND(C64=12,C63="P"),T!$I$61,0))))))</f>
        <v>0</v>
      </c>
      <c r="L60" s="135">
        <f>IF(AND(C64=2,C63="L"),T!$J$56,IF(AND(C64=4,C63="L"),T!$J$57,IF(AND(C64=6,C63="L"),T!$J$58,IF(AND(C64=8,C63="L"),T!$J$59,IF(AND(C64=10,C63="L"),T!$J$60,IF(AND(C64=12,C63="L"),T!$J$61,0))))))</f>
        <v>57.38</v>
      </c>
      <c r="M60" s="135">
        <f>IF(AND(C64=2,C63="M"),T!$K$56,IF(AND(C64=4,C63="M"),T!$K$57,IF(AND(C64=6,C63="M"),T!$K$58,IF(AND(C64=8,C63="M"),T!$K$59,IF(AND(C64=10,C63="M"),T!$K$60,IF(AND(C64=12,C63="M"),T!$K$61,0))))))</f>
        <v>0</v>
      </c>
      <c r="O60" s="99">
        <f t="shared" si="38"/>
        <v>57.38</v>
      </c>
      <c r="P60" s="7">
        <f t="shared" ref="P60:P66" si="45">C$62*3600/(O60*1000)</f>
        <v>5213.6632973161377</v>
      </c>
      <c r="Q60" s="7">
        <f t="shared" si="39"/>
        <v>967598.55768560478</v>
      </c>
      <c r="R60" s="99">
        <f t="shared" si="40"/>
        <v>11427338.966266993</v>
      </c>
    </row>
    <row r="61" spans="2:21" x14ac:dyDescent="0.25">
      <c r="B61" s="107" t="str">
        <f t="shared" ref="B61:B66" si="46">B48</f>
        <v>Tramo</v>
      </c>
      <c r="C61" s="99">
        <f>MCI!G21</f>
        <v>5</v>
      </c>
      <c r="E61" s="99" t="str">
        <f t="shared" si="41"/>
        <v>C2</v>
      </c>
      <c r="F61" s="27">
        <f t="shared" si="37"/>
        <v>7.0166666666666669E-2</v>
      </c>
      <c r="G61" s="100">
        <f t="shared" si="37"/>
        <v>1.37</v>
      </c>
      <c r="H61" s="100">
        <f t="shared" si="42"/>
        <v>0.37000000000000011</v>
      </c>
      <c r="I61" s="99">
        <f t="shared" si="43"/>
        <v>383.00475</v>
      </c>
      <c r="J61" s="21">
        <f t="shared" si="44"/>
        <v>31827694.725000001</v>
      </c>
      <c r="K61" s="135">
        <f>IF(AND(C64=2,C63="P"),T!$I$46,IF(AND(C64=4,C63="P"),T!$I$47,IF(AND(C64=6,C63="P"),T!$I$48,IF(AND(C64=8,C63="P"),T!$I$49,IF(AND(C64=10,C63="P"),T!$I$50,IF(AND(C64=12,C63="P"),T!$I$51,0))))))</f>
        <v>0</v>
      </c>
      <c r="L61" s="135">
        <f>IF(AND(C64=2,C63="L"),T!$J$46,IF(AND(C64=4,C63="L"),T!$J$47,IF(AND(C64=6,C63="L"),T!$J$48,IF(AND(C64=8,C63="L"),T!$J$49,IF(AND(C64=10,C63="L"),T!$J$50,IF(AND(C64=12,C63="L"),T!$J$51,0))))))</f>
        <v>48.37</v>
      </c>
      <c r="M61" s="135">
        <f>IF(AND(C64=2,C63="M"),T!$K$46,IF(AND(C64=4,C63="M"),T!$K$47,IF(AND(C64=6,C63="M"),T!$K$48,IF(AND(C64=8,C63="M"),T!$K$49,IF(AND(C64=10,C63="M"),T!$K$50,IF(AND(C64=12,C63="M"),T!$K$51,0))))))</f>
        <v>0</v>
      </c>
      <c r="O61" s="99">
        <f t="shared" si="38"/>
        <v>48.37</v>
      </c>
      <c r="P61" s="7">
        <f t="shared" si="45"/>
        <v>6184.8253049410796</v>
      </c>
      <c r="Q61" s="7">
        <f t="shared" si="39"/>
        <v>2368817.4697126318</v>
      </c>
      <c r="R61" s="99">
        <f t="shared" si="40"/>
        <v>876462.46379367402</v>
      </c>
    </row>
    <row r="62" spans="2:21" x14ac:dyDescent="0.25">
      <c r="B62" s="107" t="str">
        <f t="shared" si="46"/>
        <v>Longitud (m)</v>
      </c>
      <c r="C62" s="76">
        <f>MCI!G23</f>
        <v>83100</v>
      </c>
      <c r="E62" s="99" t="str">
        <f t="shared" si="41"/>
        <v>C3</v>
      </c>
      <c r="F62" s="27">
        <f t="shared" si="37"/>
        <v>2.0833333333333332E-2</v>
      </c>
      <c r="G62" s="100">
        <f t="shared" si="37"/>
        <v>1.23</v>
      </c>
      <c r="H62" s="100">
        <f t="shared" si="42"/>
        <v>0.22999999999999998</v>
      </c>
      <c r="I62" s="99">
        <f t="shared" si="43"/>
        <v>113.71875</v>
      </c>
      <c r="J62" s="21">
        <f t="shared" si="44"/>
        <v>9450028.125</v>
      </c>
      <c r="K62" s="135">
        <f>IF(AND(C64=2,C63="P"),T!$I$36,IF(AND(C64=4,C63="P"),T!$I$37,IF(AND(C64=6,C63="P"),T!$I$38,IF(AND(C64=8,C63="P"),T!$I$39,IF(AND(C64=10,C63="P"),T!$I$40,IF(AND(C64=12,C63="P"),T!$I$41,0))))))</f>
        <v>0</v>
      </c>
      <c r="L62" s="135">
        <f>IF(AND(C64=2,C63="L"),T!$J$36,IF(AND(C64=4,C63="L"),T!$J$37,IF(AND(C64=6,C63="L"),T!$J$38,IF(AND(C64=8,C63="L"),T!$J$39,IF(AND(C64=10,C63="L"),T!$J$40,IF(AND(C64=12,C63="L"),T!$J$41,0))))))</f>
        <v>42.88</v>
      </c>
      <c r="M62" s="135">
        <f>IF(AND(C64=2,C63="M"),T!$K$36,IF(AND(C64=4,C63="M"),T!$K$37,IF(AND(C64=6,C63="M"),T!$K$38,IF(AND(C64=8,C63="M"),T!$K$39,IF(AND(C64=10,C63="M"),T!$K$40,IF(AND(C64=12,C63="M"),T!$K$41,0))))))</f>
        <v>0</v>
      </c>
      <c r="O62" s="99">
        <f t="shared" si="38"/>
        <v>42.88</v>
      </c>
      <c r="P62" s="7">
        <f t="shared" si="45"/>
        <v>6976.6791044776119</v>
      </c>
      <c r="Q62" s="7">
        <f t="shared" si="39"/>
        <v>793379.22691231337</v>
      </c>
      <c r="R62" s="99">
        <f t="shared" si="40"/>
        <v>182477.22218983207</v>
      </c>
    </row>
    <row r="63" spans="2:21" x14ac:dyDescent="0.25">
      <c r="B63" s="107" t="str">
        <f t="shared" si="46"/>
        <v>Tipo de terreno</v>
      </c>
      <c r="C63" s="100" t="str">
        <f>IF(MCI!G24=LISTA!A2,"P",IF(MCI!G24=LISTA!A3,"L",IF(MCI!G24=LISTA!A4,"M",0)))</f>
        <v>L</v>
      </c>
      <c r="E63" s="99" t="str">
        <f t="shared" si="41"/>
        <v>T3S2</v>
      </c>
      <c r="F63" s="27">
        <f t="shared" si="37"/>
        <v>4.8333333333333339E-2</v>
      </c>
      <c r="G63" s="100">
        <f t="shared" si="37"/>
        <v>1.1399999999999999</v>
      </c>
      <c r="H63" s="100">
        <f t="shared" si="42"/>
        <v>0.1399999999999999</v>
      </c>
      <c r="I63" s="99">
        <f t="shared" si="43"/>
        <v>263.82750000000004</v>
      </c>
      <c r="J63" s="21">
        <f t="shared" si="44"/>
        <v>21924065.250000004</v>
      </c>
      <c r="K63" s="135">
        <f>IF(AND(C64=2,C63="P"),T!$I$26,IF(AND(C64=4,C63="P"),T!$I$27,IF(AND(C64=6,C63="P"),T!$I$28,IF(AND(C64=8,C63="P"),T!$I$29,IF(AND(C64=10,C63="P"),T!$I$30,IF(AND(C64=12,C63="P"),T!$I$31,0))))))</f>
        <v>0</v>
      </c>
      <c r="L63" s="135">
        <f>IF(AND(C64=2,C63="L"),T!$J$26,IF(AND(C64=4,C63="L"),T!$J$27,IF(AND(C64=6,C63="L"),T!$J$28,IF(AND(C64=8,C63="L"),T!$J$29,IF(AND(C64=10,C63="L"),T!$J$30,IF(AND(C64=12,C63="L"),T!$J$31,0))))))</f>
        <v>42.9</v>
      </c>
      <c r="M63" s="135">
        <f>IF(AND(C64=2,C63="M"),T!$K$26,IF(AND(C64=4,C63="M"),T!$K$27,IF(AND(C64=6,C63="M"),T!$K$28,IF(AND(C64=8,C63="M"),T!$K$29,IF(AND(C64=10,C63="M"),T!$K$30,IF(AND(C64=12,C63="M"),T!$K$31,0))))))</f>
        <v>0</v>
      </c>
      <c r="O63" s="99">
        <f t="shared" si="38"/>
        <v>42.9</v>
      </c>
      <c r="P63" s="7">
        <f t="shared" si="45"/>
        <v>6973.4265734265737</v>
      </c>
      <c r="Q63" s="7">
        <f t="shared" si="39"/>
        <v>1839781.6993006996</v>
      </c>
      <c r="R63" s="99">
        <f t="shared" si="40"/>
        <v>257569.43790209776</v>
      </c>
    </row>
    <row r="64" spans="2:21" x14ac:dyDescent="0.25">
      <c r="B64" s="107" t="str">
        <f t="shared" si="46"/>
        <v>IIR</v>
      </c>
      <c r="C64" s="77">
        <f>MCI!G25</f>
        <v>8</v>
      </c>
      <c r="E64" s="99" t="str">
        <f t="shared" si="41"/>
        <v xml:space="preserve"> T3S3</v>
      </c>
      <c r="F64" s="27">
        <f t="shared" si="37"/>
        <v>1.55E-2</v>
      </c>
      <c r="G64" s="100">
        <f t="shared" si="37"/>
        <v>1.1399999999999999</v>
      </c>
      <c r="H64" s="100">
        <f t="shared" si="42"/>
        <v>0.1399999999999999</v>
      </c>
      <c r="I64" s="99">
        <f t="shared" si="43"/>
        <v>84.606750000000005</v>
      </c>
      <c r="J64" s="21">
        <f t="shared" si="44"/>
        <v>7030820.9250000007</v>
      </c>
      <c r="K64" s="135">
        <f>IF(AND(C64=2,C63="P"),T!$I$16,IF(AND(C64=4,C63="P"),T!$I$17,IF(AND(C64=6,C63="P"),T!$I$18,IF(AND(C64=8,C63="P"),T!$I$19,IF(AND(C64=10,C63="P"),T!$I$20,IF(AND(C64=12,C63="P"),T!$I$21,0))))))</f>
        <v>0</v>
      </c>
      <c r="L64" s="135">
        <f>IF(AND(C64=2,C63="L"),T!$J$16,IF(AND(C64=4,C63="L"),T!$J$17,IF(AND(C64=6,C63="L"),T!$J$18,IF(AND(C64=8,C63="L"),T!$J$19,IF(AND(C64=10,C63="L"),T!$J$20,IF(AND(C64=12,C63="L"),T!$J$21,0))))))</f>
        <v>38.799999999999997</v>
      </c>
      <c r="M64" s="135">
        <f>IF(AND(C64=2,C63="M"),T!$K$16,IF(AND(C64=4,C63="M"),T!$K$17,IF(AND(C64=6,C63="M"),T!$K$18,IF(AND(C64=8,C63="M"),T!$K$19,IF(AND(C64=10,C63="M"),T!$K$20,IF(AND(C64=12,C63="M"),T!$K$21,0))))))</f>
        <v>0</v>
      </c>
      <c r="O64" s="99">
        <f t="shared" si="38"/>
        <v>38.799999999999997</v>
      </c>
      <c r="P64" s="7">
        <f t="shared" si="45"/>
        <v>7710.3092783505153</v>
      </c>
      <c r="Q64" s="7">
        <f t="shared" si="39"/>
        <v>652344.20953608246</v>
      </c>
      <c r="R64" s="99">
        <f t="shared" si="40"/>
        <v>91328.189335051487</v>
      </c>
    </row>
    <row r="65" spans="2:21" x14ac:dyDescent="0.25">
      <c r="B65" s="107" t="str">
        <f t="shared" si="46"/>
        <v>Descripción</v>
      </c>
      <c r="C65" s="104" t="str">
        <f>MCI!G22</f>
        <v>Toluca - Jilotepec (57)</v>
      </c>
      <c r="E65" s="99" t="str">
        <f t="shared" si="41"/>
        <v xml:space="preserve"> T3S2R4</v>
      </c>
      <c r="F65" s="27">
        <f t="shared" si="37"/>
        <v>1.0166666666666666E-2</v>
      </c>
      <c r="G65" s="100">
        <f t="shared" si="37"/>
        <v>1.0900000000000001</v>
      </c>
      <c r="H65" s="100">
        <f t="shared" si="42"/>
        <v>9.000000000000008E-2</v>
      </c>
      <c r="I65" s="99">
        <f t="shared" si="43"/>
        <v>55.494749999999996</v>
      </c>
      <c r="J65" s="21">
        <f t="shared" si="44"/>
        <v>4611613.7249999996</v>
      </c>
      <c r="K65" s="135">
        <f>IF(AND(C64=2,C63="P"),T!$I$6,IF(AND(C64=4,C63="P"),T!$I$7,IF(AND(C64=6,C63="P"),T!$I$8,IF(AND(C64=8,C63="P"),T!$I$9,IF(AND(C64=10,C63="P"),T!$I$10,IF(AND(C64=12,C63="P"),T!$I$11,0))))))</f>
        <v>0</v>
      </c>
      <c r="L65" s="135">
        <f>IF(AND(C64=2,C63="L"),T!$J$6,IF(AND(C64=4,C63="L"),T!$J$7,IF(AND(C64=6,C63="L"),T!$J$8,IF(AND(C64=8,C63="L"),T!$J$9,IF(AND(C64=10,C63="L"),T!$J$10,IF(AND(C64=12,C63="L"),T!$J$11,0))))))</f>
        <v>31.77</v>
      </c>
      <c r="M65" s="135">
        <f>IF(AND(C64=2,C63="M"),T!$K$6,IF(AND(C64=4,C63="M"),T!$K$7,IF(AND(C64=6,C63="M"),T!$K$8,IF(AND(C64=8,C63="M"),T!$K$9,IF(AND(C64=10,C63="M"),T!$K$10,IF(AND(C64=12,C63="M"),T!$K$11,0))))))</f>
        <v>0</v>
      </c>
      <c r="O65" s="99">
        <f t="shared" si="38"/>
        <v>31.77</v>
      </c>
      <c r="P65" s="7">
        <f t="shared" si="45"/>
        <v>9416.4305949008503</v>
      </c>
      <c r="Q65" s="7">
        <f t="shared" si="39"/>
        <v>522562.46175637393</v>
      </c>
      <c r="R65" s="99">
        <f t="shared" si="40"/>
        <v>47030.621558073697</v>
      </c>
    </row>
    <row r="66" spans="2:21" x14ac:dyDescent="0.25">
      <c r="B66" s="107" t="str">
        <f t="shared" si="46"/>
        <v>TDPARP (vpd)</v>
      </c>
      <c r="C66" s="100">
        <f>C53</f>
        <v>5458.5</v>
      </c>
      <c r="E66" s="99" t="str">
        <f t="shared" si="41"/>
        <v xml:space="preserve"> OTROS</v>
      </c>
      <c r="F66" s="27">
        <f t="shared" si="37"/>
        <v>3.0000000000000768E-3</v>
      </c>
      <c r="G66" s="100">
        <f t="shared" si="37"/>
        <v>1.0900000000000001</v>
      </c>
      <c r="H66" s="100">
        <f t="shared" si="42"/>
        <v>9.000000000000008E-2</v>
      </c>
      <c r="I66" s="99">
        <f>F66*$C$66</f>
        <v>16.375500000000418</v>
      </c>
      <c r="J66" s="21">
        <f>I66*$C$62</f>
        <v>1360804.0500000347</v>
      </c>
      <c r="K66" s="99"/>
      <c r="L66" s="99"/>
      <c r="M66" s="99"/>
      <c r="O66" s="140">
        <f>AVERAGE(O59:O65)</f>
        <v>46.142857142857146</v>
      </c>
      <c r="P66" s="7">
        <f t="shared" si="45"/>
        <v>6483.343653250774</v>
      </c>
      <c r="Q66" s="7">
        <f t="shared" si="39"/>
        <v>106167.99399381076</v>
      </c>
      <c r="R66" s="99">
        <f t="shared" si="40"/>
        <v>9555.1194594429762</v>
      </c>
    </row>
    <row r="67" spans="2:21" x14ac:dyDescent="0.25">
      <c r="E67" s="19"/>
      <c r="F67" s="43"/>
      <c r="G67" s="43"/>
      <c r="H67" s="43"/>
      <c r="I67" s="19"/>
      <c r="J67" s="44"/>
      <c r="Q67" s="82" t="s">
        <v>17</v>
      </c>
      <c r="R67" s="99">
        <f>SUM(R59:R66)</f>
        <v>40280524.362022392</v>
      </c>
    </row>
    <row r="69" spans="2:21" x14ac:dyDescent="0.25">
      <c r="E69" s="99" t="s">
        <v>19</v>
      </c>
      <c r="F69" s="82" t="s">
        <v>24</v>
      </c>
      <c r="G69" s="82" t="s">
        <v>41</v>
      </c>
      <c r="H69" s="82" t="s">
        <v>290</v>
      </c>
      <c r="I69" s="82" t="s">
        <v>20</v>
      </c>
      <c r="J69" s="97" t="s">
        <v>36</v>
      </c>
      <c r="K69" s="99"/>
      <c r="L69" s="99"/>
      <c r="M69" s="99"/>
      <c r="O69" s="97" t="s">
        <v>21</v>
      </c>
      <c r="P69" s="82" t="s">
        <v>292</v>
      </c>
      <c r="Q69" s="82" t="s">
        <v>77</v>
      </c>
      <c r="R69" s="82" t="s">
        <v>42</v>
      </c>
    </row>
    <row r="70" spans="2:21" x14ac:dyDescent="0.25">
      <c r="E70" s="352" t="s">
        <v>1</v>
      </c>
      <c r="F70" s="99" t="s">
        <v>6</v>
      </c>
      <c r="G70" s="142" t="s">
        <v>309</v>
      </c>
      <c r="H70" s="142" t="str">
        <f>G70</f>
        <v>(persona/veh)</v>
      </c>
      <c r="I70" s="99" t="s">
        <v>7</v>
      </c>
      <c r="J70" s="234" t="str">
        <f>J57</f>
        <v>(m)</v>
      </c>
      <c r="K70" s="99"/>
      <c r="L70" s="99"/>
      <c r="M70" s="99"/>
      <c r="O70" s="99" t="s">
        <v>8</v>
      </c>
      <c r="P70" s="99" t="s">
        <v>11</v>
      </c>
      <c r="Q70" s="99" t="s">
        <v>287</v>
      </c>
      <c r="R70" s="99" t="s">
        <v>9</v>
      </c>
    </row>
    <row r="71" spans="2:21" ht="75" x14ac:dyDescent="0.25">
      <c r="E71" s="352"/>
      <c r="F71" s="96" t="s">
        <v>5</v>
      </c>
      <c r="G71" s="96" t="s">
        <v>112</v>
      </c>
      <c r="H71" s="96" t="s">
        <v>289</v>
      </c>
      <c r="I71" s="96" t="s">
        <v>3</v>
      </c>
      <c r="J71" s="96" t="s">
        <v>143</v>
      </c>
      <c r="K71" s="99"/>
      <c r="L71" s="99"/>
      <c r="M71" s="99"/>
      <c r="O71" s="96" t="s">
        <v>4</v>
      </c>
      <c r="P71" s="96" t="s">
        <v>10</v>
      </c>
      <c r="Q71" s="96" t="s">
        <v>288</v>
      </c>
      <c r="R71" s="96" t="s">
        <v>12</v>
      </c>
    </row>
    <row r="72" spans="2:21" x14ac:dyDescent="0.25">
      <c r="E72" s="99" t="str">
        <f>E59</f>
        <v>A</v>
      </c>
      <c r="F72" s="27">
        <f t="shared" ref="F72:G79" si="47">F59</f>
        <v>0.79800000000000004</v>
      </c>
      <c r="G72" s="100">
        <f>G59</f>
        <v>2.2799999999999998</v>
      </c>
      <c r="H72" s="100">
        <f>G72-1</f>
        <v>1.2799999999999998</v>
      </c>
      <c r="I72" s="99">
        <f>F72*$C$79</f>
        <v>4355.8829999999998</v>
      </c>
      <c r="J72" s="21">
        <f>I72*$C$75</f>
        <v>170315025.29999998</v>
      </c>
      <c r="K72" s="135">
        <f>IF(AND(C77=2,C76="P"),T!$I$66,IF(AND(C77=4,C76="P"),T!$I$67,IF(AND(C77=6,C76="P"),T!$I$68,IF(AND(C77=8,C76="P"),T!$I$69,IF(AND(C77=10,C76="P"),T!$I$70,IF(AND(C77=12,C76="P"),T!$I$71,0))))))</f>
        <v>0</v>
      </c>
      <c r="L72" s="135">
        <f>IF(AND(C77=2,C76="L"),T!$J$66,IF(AND(C77=4,C76="L"),T!$J$67,IF(AND(C77=6,C76="L"),T!$J$68,IF(AND(C77=8,C76="L"),T!$J$69,IF(AND(C77=10,C76="L"),T!$J$70,IF(AND(C77=12,C76="L"),T!$J$71,0))))))</f>
        <v>65.94</v>
      </c>
      <c r="M72" s="135">
        <f>IF(AND(C77=2,C76="M"),T!$K$66,IF(AND(C77=4,C76="M"),T!$K$67,IF(AND(C77=6,C76="M"),T!$K$68,IF(AND(C77=8,C76="M"),T!$K$69,IF(AND(C77=10,C76="M"),T!$K$70,IF(AND(C77=12,C76="M"),T!$K$71,0))))))</f>
        <v>0</v>
      </c>
      <c r="O72" s="99">
        <f t="shared" ref="O72:O78" si="48">SUM(K72:M72)</f>
        <v>65.94</v>
      </c>
      <c r="P72" s="7">
        <f>C$75*3600/(O72*1000)</f>
        <v>2134.6678798908097</v>
      </c>
      <c r="Q72" s="7">
        <f t="shared" ref="Q72:Q79" si="49">P72*I72</f>
        <v>9298363.5286624189</v>
      </c>
      <c r="R72" s="99">
        <f t="shared" ref="R72:R79" si="50">Q72*H72</f>
        <v>11901905.316687895</v>
      </c>
      <c r="U72" s="122"/>
    </row>
    <row r="73" spans="2:21" x14ac:dyDescent="0.25">
      <c r="E73" s="99" t="str">
        <f t="shared" ref="E73:E79" si="51">E60</f>
        <v xml:space="preserve"> B</v>
      </c>
      <c r="F73" s="27">
        <f t="shared" si="47"/>
        <v>3.4000000000000002E-2</v>
      </c>
      <c r="G73" s="100">
        <f t="shared" si="47"/>
        <v>12.81</v>
      </c>
      <c r="H73" s="100">
        <f t="shared" ref="H73:H79" si="52">G73-1</f>
        <v>11.81</v>
      </c>
      <c r="I73" s="99">
        <f t="shared" ref="I73:I79" si="53">C$40*F73</f>
        <v>185.58900000000003</v>
      </c>
      <c r="J73" s="21">
        <f t="shared" ref="J73:J79" si="54">I73*$C$75</f>
        <v>7256529.9000000013</v>
      </c>
      <c r="K73" s="135">
        <f>IF(AND(C77=2,C76="P"),T!$I$56,IF(AND(C77=4,C76="P"),T!$I$57,IF(AND(C77=6,C76="P"),T!$I$58,IF(AND(C77=8,C76="P"),T!$I$59,IF(AND(C77=10,C76="P"),T!$I$60,IF(AND(C77=12,C76="P"),T!$I$61,0))))))</f>
        <v>0</v>
      </c>
      <c r="L73" s="135">
        <f>IF(AND(C77=2,C76="L"),T!$J$56,IF(AND(C77=4,C76="L"),T!$J$57,IF(AND(C77=6,C76="L"),T!$J$58,IF(AND(C77=8,C76="L"),T!$J$59,IF(AND(C77=10,C76="L"),T!$J$60,IF(AND(C77=12,C76="L"),T!$J$61,0))))))</f>
        <v>62.12</v>
      </c>
      <c r="M73" s="135">
        <f>IF(AND(C77=2,C76="M"),T!$K$56,IF(AND(C77=4,C76="M"),T!$K$57,IF(AND(C77=6,C76="M"),T!$K$58,IF(AND(C77=8,C76="M"),T!$K$59,IF(AND(C77=10,C76="M"),T!$K$60,IF(AND(C77=12,C76="M"),T!$K$61,0))))))</f>
        <v>0</v>
      </c>
      <c r="O73" s="99">
        <f t="shared" si="48"/>
        <v>62.12</v>
      </c>
      <c r="P73" s="7">
        <f t="shared" ref="P73:P79" si="55">C$75*3600/(O73*1000)</f>
        <v>2265.9368963296843</v>
      </c>
      <c r="Q73" s="7">
        <f t="shared" si="49"/>
        <v>420532.96265292983</v>
      </c>
      <c r="R73" s="99">
        <f t="shared" si="50"/>
        <v>4966494.2889311016</v>
      </c>
    </row>
    <row r="74" spans="2:21" x14ac:dyDescent="0.25">
      <c r="B74" s="107" t="str">
        <f t="shared" ref="B74:B79" si="56">B61</f>
        <v>Tramo</v>
      </c>
      <c r="C74" s="99">
        <f>MCI!H21</f>
        <v>6</v>
      </c>
      <c r="E74" s="99" t="str">
        <f t="shared" si="51"/>
        <v>C2</v>
      </c>
      <c r="F74" s="27">
        <f t="shared" si="47"/>
        <v>7.0166666666666669E-2</v>
      </c>
      <c r="G74" s="100">
        <f t="shared" si="47"/>
        <v>1.37</v>
      </c>
      <c r="H74" s="100">
        <f t="shared" si="52"/>
        <v>0.37000000000000011</v>
      </c>
      <c r="I74" s="99">
        <f t="shared" si="53"/>
        <v>383.00475</v>
      </c>
      <c r="J74" s="21">
        <f t="shared" si="54"/>
        <v>14975485.725</v>
      </c>
      <c r="K74" s="135">
        <f>IF(AND(C77=2,C76="P"),T!$I$46,IF(AND(C77=4,C76="P"),T!$I$47,IF(AND(C77=6,C76="P"),T!$I$48,IF(AND(C77=8,C76="P"),T!$I$49,IF(AND(C77=10,C76="P"),T!$I$50,IF(AND(C77=12,C76="P"),T!$I$51,0))))))</f>
        <v>0</v>
      </c>
      <c r="L74" s="135">
        <f>IF(AND(C77=2,C76="L"),T!$J$46,IF(AND(C77=4,C76="L"),T!$J$47,IF(AND(C77=6,C76="L"),T!$J$48,IF(AND(C77=8,C76="L"),T!$J$49,IF(AND(C77=10,C76="L"),T!$J$50,IF(AND(C77=12,C76="L"),T!$J$51,0))))))</f>
        <v>53.77</v>
      </c>
      <c r="M74" s="135">
        <f>IF(AND(C77=2,C76="M"),T!$K$46,IF(AND(C77=4,C76="M"),T!$K$47,IF(AND(C77=6,C76="M"),T!$K$48,IF(AND(C77=8,C76="M"),T!$K$49,IF(AND(C77=10,C76="M"),T!$K$50,IF(AND(C77=12,C76="M"),T!$K$51,0))))))</f>
        <v>0</v>
      </c>
      <c r="O74" s="99">
        <f t="shared" si="48"/>
        <v>53.77</v>
      </c>
      <c r="P74" s="7">
        <f t="shared" si="55"/>
        <v>2617.8166263715825</v>
      </c>
      <c r="Q74" s="7">
        <f t="shared" si="49"/>
        <v>1002636.2025292914</v>
      </c>
      <c r="R74" s="99">
        <f t="shared" si="50"/>
        <v>370975.39493583795</v>
      </c>
    </row>
    <row r="75" spans="2:21" x14ac:dyDescent="0.25">
      <c r="B75" s="107" t="str">
        <f t="shared" si="56"/>
        <v>Longitud (m)</v>
      </c>
      <c r="C75" s="76">
        <f>MCI!H23</f>
        <v>39100</v>
      </c>
      <c r="E75" s="99" t="str">
        <f t="shared" si="51"/>
        <v>C3</v>
      </c>
      <c r="F75" s="27">
        <f t="shared" si="47"/>
        <v>2.0833333333333332E-2</v>
      </c>
      <c r="G75" s="100">
        <f t="shared" si="47"/>
        <v>1.23</v>
      </c>
      <c r="H75" s="100">
        <f t="shared" si="52"/>
        <v>0.22999999999999998</v>
      </c>
      <c r="I75" s="99">
        <f t="shared" si="53"/>
        <v>113.71875</v>
      </c>
      <c r="J75" s="21">
        <f t="shared" si="54"/>
        <v>4446403.125</v>
      </c>
      <c r="K75" s="135">
        <f>IF(AND(C77=2,C76="P"),T!$I$36,IF(AND(C77=4,C76="P"),T!$I$37,IF(AND(C77=6,C76="P"),T!$I$38,IF(AND(C77=8,C76="P"),T!$I$39,IF(AND(C77=10,C76="P"),T!$I$40,IF(AND(C77=12,C76="P"),T!$I$41,0))))))</f>
        <v>0</v>
      </c>
      <c r="L75" s="135">
        <f>IF(AND(C77=2,C76="L"),T!$J$36,IF(AND(C77=4,C76="L"),T!$J$37,IF(AND(C77=6,C76="L"),T!$J$38,IF(AND(C77=8,C76="L"),T!$J$39,IF(AND(C77=10,C76="L"),T!$J$40,IF(AND(C77=12,C76="L"),T!$J$41,0))))))</f>
        <v>46.26</v>
      </c>
      <c r="M75" s="135">
        <f>IF(AND(C77=2,C76="M"),T!$K$36,IF(AND(C77=4,C76="M"),T!$K$37,IF(AND(C77=6,C76="M"),T!$K$38,IF(AND(C77=8,C76="M"),T!$K$39,IF(AND(C77=10,C76="M"),T!$K$40,IF(AND(C77=12,C76="M"),T!$K$41,0))))))</f>
        <v>0</v>
      </c>
      <c r="O75" s="99">
        <f t="shared" si="48"/>
        <v>46.26</v>
      </c>
      <c r="P75" s="7">
        <f t="shared" si="55"/>
        <v>3042.8015564202333</v>
      </c>
      <c r="Q75" s="7">
        <f t="shared" si="49"/>
        <v>346023.5894941634</v>
      </c>
      <c r="R75" s="99">
        <f t="shared" si="50"/>
        <v>79585.425583657576</v>
      </c>
    </row>
    <row r="76" spans="2:21" x14ac:dyDescent="0.25">
      <c r="B76" s="107" t="str">
        <f t="shared" si="56"/>
        <v>Tipo de terreno</v>
      </c>
      <c r="C76" s="100" t="str">
        <f>IF(MCI!H24=LISTA!A2,"P",IF(MCI!H24=LISTA!A3,"L",IF(MCI!H24=LISTA!A4,"M",0)))</f>
        <v>L</v>
      </c>
      <c r="E76" s="99" t="str">
        <f t="shared" si="51"/>
        <v>T3S2</v>
      </c>
      <c r="F76" s="27">
        <f t="shared" si="47"/>
        <v>4.8333333333333339E-2</v>
      </c>
      <c r="G76" s="100">
        <f t="shared" si="47"/>
        <v>1.1399999999999999</v>
      </c>
      <c r="H76" s="100">
        <f t="shared" si="52"/>
        <v>0.1399999999999999</v>
      </c>
      <c r="I76" s="99">
        <f t="shared" si="53"/>
        <v>263.82750000000004</v>
      </c>
      <c r="J76" s="21">
        <f t="shared" si="54"/>
        <v>10315655.250000002</v>
      </c>
      <c r="K76" s="135">
        <f>IF(AND(C77=2,C76="P"),T!$I$26,IF(AND(C77=4,C76="P"),T!$I$27,IF(AND(C77=6,C76="P"),T!$I$28,IF(AND(C77=8,C76="P"),T!$I$29,IF(AND(C77=10,C76="P"),T!$I$30,IF(AND(C77=12,C76="P"),T!$I$31,0))))))</f>
        <v>0</v>
      </c>
      <c r="L76" s="135">
        <f>IF(AND(C77=2,C76="L"),T!$J$26,IF(AND(C77=4,C76="L"),T!$J$27,IF(AND(C77=6,C76="L"),T!$J$28,IF(AND(C77=8,C76="L"),T!$J$29,IF(AND(C77=10,C76="L"),T!$J$30,IF(AND(C77=12,C76="L"),T!$J$31,0))))))</f>
        <v>50.12</v>
      </c>
      <c r="M76" s="135">
        <f>IF(AND(C77=2,C76="M"),T!$K$26,IF(AND(C77=4,C76="M"),T!$K$27,IF(AND(C77=6,C76="M"),T!$K$28,IF(AND(C77=8,C76="M"),T!$K$29,IF(AND(C77=10,C76="M"),T!$K$30,IF(AND(C77=12,C76="M"),T!$K$31,0))))))</f>
        <v>0</v>
      </c>
      <c r="O76" s="99">
        <f t="shared" si="48"/>
        <v>50.12</v>
      </c>
      <c r="P76" s="7">
        <f t="shared" si="55"/>
        <v>2808.459696727853</v>
      </c>
      <c r="Q76" s="7">
        <f t="shared" si="49"/>
        <v>740948.90063846775</v>
      </c>
      <c r="R76" s="99">
        <f t="shared" si="50"/>
        <v>103732.84608938541</v>
      </c>
    </row>
    <row r="77" spans="2:21" x14ac:dyDescent="0.25">
      <c r="B77" s="107" t="str">
        <f t="shared" si="56"/>
        <v>IIR</v>
      </c>
      <c r="C77" s="77">
        <f>MCI!H25</f>
        <v>4</v>
      </c>
      <c r="E77" s="99" t="str">
        <f t="shared" si="51"/>
        <v xml:space="preserve"> T3S3</v>
      </c>
      <c r="F77" s="27">
        <f t="shared" si="47"/>
        <v>1.55E-2</v>
      </c>
      <c r="G77" s="100">
        <f t="shared" si="47"/>
        <v>1.1399999999999999</v>
      </c>
      <c r="H77" s="100">
        <f t="shared" si="52"/>
        <v>0.1399999999999999</v>
      </c>
      <c r="I77" s="99">
        <f t="shared" si="53"/>
        <v>84.606750000000005</v>
      </c>
      <c r="J77" s="21">
        <f t="shared" si="54"/>
        <v>3308123.9250000003</v>
      </c>
      <c r="K77" s="135">
        <f>IF(AND(C77=2,C76="P"),T!$I$16,IF(AND(C77=4,C76="P"),T!$I$17,IF(AND(C77=6,C76="P"),T!$I$18,IF(AND(C77=8,C76="P"),T!$I$19,IF(AND(C77=10,C76="P"),T!$I$20,IF(AND(C77=12,C76="P"),T!$I$21,0))))))</f>
        <v>0</v>
      </c>
      <c r="L77" s="135">
        <f>IF(AND(C77=2,C76="L"),T!$J$16,IF(AND(C77=4,C76="L"),T!$J$17,IF(AND(C77=6,C76="L"),T!$J$18,IF(AND(C77=8,C76="L"),T!$J$19,IF(AND(C77=10,C76="L"),T!$J$20,IF(AND(C77=12,C76="L"),T!$J$21,0))))))</f>
        <v>43.36</v>
      </c>
      <c r="M77" s="135">
        <f>IF(AND(C77=2,C76="M"),T!$K$16,IF(AND(C77=4,C76="M"),T!$K$17,IF(AND(C77=6,C76="M"),T!$K$18,IF(AND(C77=8,C76="M"),T!$K$19,IF(AND(C77=10,C76="M"),T!$K$20,IF(AND(C77=12,C76="M"),T!$K$21,0))))))</f>
        <v>0</v>
      </c>
      <c r="O77" s="99">
        <f t="shared" si="48"/>
        <v>43.36</v>
      </c>
      <c r="P77" s="7">
        <f t="shared" si="55"/>
        <v>3246.3099630996312</v>
      </c>
      <c r="Q77" s="7">
        <f t="shared" si="49"/>
        <v>274659.73547047976</v>
      </c>
      <c r="R77" s="99">
        <f t="shared" si="50"/>
        <v>38452.362965867142</v>
      </c>
    </row>
    <row r="78" spans="2:21" x14ac:dyDescent="0.25">
      <c r="B78" s="107" t="str">
        <f t="shared" si="56"/>
        <v>Descripción</v>
      </c>
      <c r="C78" s="104" t="str">
        <f>MCI!H22</f>
        <v>Acambay - Jilotepec (40D)</v>
      </c>
      <c r="E78" s="99" t="str">
        <f t="shared" si="51"/>
        <v xml:space="preserve"> T3S2R4</v>
      </c>
      <c r="F78" s="27">
        <f t="shared" si="47"/>
        <v>1.0166666666666666E-2</v>
      </c>
      <c r="G78" s="100">
        <f t="shared" si="47"/>
        <v>1.0900000000000001</v>
      </c>
      <c r="H78" s="100">
        <f t="shared" si="52"/>
        <v>9.000000000000008E-2</v>
      </c>
      <c r="I78" s="99">
        <f t="shared" si="53"/>
        <v>55.494749999999996</v>
      </c>
      <c r="J78" s="21">
        <f t="shared" si="54"/>
        <v>2169844.7249999996</v>
      </c>
      <c r="K78" s="135">
        <f>IF(AND(C77=2,C76="P"),T!$I$6,IF(AND(C77=4,C76="P"),T!$I$7,IF(AND(C77=6,C76="P"),T!$I$8,IF(AND(C77=8,C76="P"),T!$I$9,IF(AND(C77=10,C76="P"),T!$I$10,IF(AND(C77=12,C76="P"),T!$I$11,0))))))</f>
        <v>0</v>
      </c>
      <c r="L78" s="135">
        <f>IF(AND(C77=2,C76="L"),T!$J$6,IF(AND(C77=4,C76="L"),T!$J$7,IF(AND(C77=6,C76="L"),T!$J$8,IF(AND(C77=8,C76="L"),T!$J$9,IF(AND(C77=10,C76="L"),T!$J$10,IF(AND(C77=12,C76="L"),T!$J$11,0))))))</f>
        <v>34</v>
      </c>
      <c r="M78" s="135">
        <f>IF(AND(C77=2,C76="M"),T!$K$6,IF(AND(C77=4,C76="M"),T!$K$7,IF(AND(C77=6,C76="M"),T!$K$8,IF(AND(C77=8,C76="M"),T!$K$9,IF(AND(C77=10,C76="M"),T!$K$10,IF(AND(C77=12,C76="M"),T!$K$11,0))))))</f>
        <v>0</v>
      </c>
      <c r="O78" s="99">
        <f t="shared" si="48"/>
        <v>34</v>
      </c>
      <c r="P78" s="7">
        <f t="shared" si="55"/>
        <v>4140</v>
      </c>
      <c r="Q78" s="7">
        <f t="shared" si="49"/>
        <v>229748.26499999998</v>
      </c>
      <c r="R78" s="99">
        <f t="shared" si="50"/>
        <v>20677.343850000016</v>
      </c>
    </row>
    <row r="79" spans="2:21" x14ac:dyDescent="0.25">
      <c r="B79" s="107" t="str">
        <f t="shared" si="56"/>
        <v>TDPARP (vpd)</v>
      </c>
      <c r="C79" s="100">
        <f>C66</f>
        <v>5458.5</v>
      </c>
      <c r="E79" s="99" t="str">
        <f t="shared" si="51"/>
        <v xml:space="preserve"> OTROS</v>
      </c>
      <c r="F79" s="27">
        <f t="shared" si="47"/>
        <v>3.0000000000000768E-3</v>
      </c>
      <c r="G79" s="100">
        <f t="shared" si="47"/>
        <v>1.0900000000000001</v>
      </c>
      <c r="H79" s="100">
        <f t="shared" si="52"/>
        <v>9.000000000000008E-2</v>
      </c>
      <c r="I79" s="99">
        <f t="shared" si="53"/>
        <v>16.375500000000418</v>
      </c>
      <c r="J79" s="21">
        <f t="shared" si="54"/>
        <v>640282.05000001634</v>
      </c>
      <c r="K79" s="99"/>
      <c r="L79" s="99"/>
      <c r="M79" s="99"/>
      <c r="O79" s="140">
        <f>AVERAGE(O72:O78)</f>
        <v>50.795714285714283</v>
      </c>
      <c r="P79" s="7">
        <f t="shared" si="55"/>
        <v>2771.0999240655851</v>
      </c>
      <c r="Q79" s="7">
        <f t="shared" si="49"/>
        <v>45378.146806537145</v>
      </c>
      <c r="R79" s="99">
        <f t="shared" si="50"/>
        <v>4084.0332125883465</v>
      </c>
    </row>
    <row r="80" spans="2:21" x14ac:dyDescent="0.25">
      <c r="E80" s="19"/>
      <c r="F80" s="43"/>
      <c r="G80" s="43"/>
      <c r="H80" s="43"/>
      <c r="I80" s="19"/>
      <c r="J80" s="44"/>
      <c r="Q80" s="82" t="s">
        <v>17</v>
      </c>
      <c r="R80" s="99">
        <f>SUM(R72:R79)</f>
        <v>17485907.012256335</v>
      </c>
    </row>
    <row r="82" spans="2:21" x14ac:dyDescent="0.25">
      <c r="E82" s="99" t="s">
        <v>19</v>
      </c>
      <c r="F82" s="82" t="s">
        <v>24</v>
      </c>
      <c r="G82" s="82" t="s">
        <v>41</v>
      </c>
      <c r="H82" s="82" t="s">
        <v>290</v>
      </c>
      <c r="I82" s="82" t="s">
        <v>20</v>
      </c>
      <c r="J82" s="97" t="s">
        <v>36</v>
      </c>
      <c r="K82" s="99"/>
      <c r="L82" s="99"/>
      <c r="M82" s="99"/>
      <c r="O82" s="97" t="s">
        <v>21</v>
      </c>
      <c r="P82" s="82" t="s">
        <v>292</v>
      </c>
      <c r="Q82" s="82" t="s">
        <v>77</v>
      </c>
      <c r="R82" s="82" t="s">
        <v>42</v>
      </c>
    </row>
    <row r="83" spans="2:21" x14ac:dyDescent="0.25">
      <c r="E83" s="352" t="s">
        <v>1</v>
      </c>
      <c r="F83" s="99" t="s">
        <v>6</v>
      </c>
      <c r="G83" s="142" t="s">
        <v>309</v>
      </c>
      <c r="H83" s="142" t="str">
        <f>G83</f>
        <v>(persona/veh)</v>
      </c>
      <c r="I83" s="99" t="s">
        <v>7</v>
      </c>
      <c r="J83" s="234" t="str">
        <f>J70</f>
        <v>(m)</v>
      </c>
      <c r="K83" s="99"/>
      <c r="L83" s="99"/>
      <c r="M83" s="99"/>
      <c r="O83" s="99" t="s">
        <v>8</v>
      </c>
      <c r="P83" s="99" t="s">
        <v>11</v>
      </c>
      <c r="Q83" s="99" t="s">
        <v>287</v>
      </c>
      <c r="R83" s="99" t="s">
        <v>9</v>
      </c>
    </row>
    <row r="84" spans="2:21" ht="75" x14ac:dyDescent="0.25">
      <c r="E84" s="352"/>
      <c r="F84" s="96" t="s">
        <v>5</v>
      </c>
      <c r="G84" s="96" t="s">
        <v>112</v>
      </c>
      <c r="H84" s="96" t="s">
        <v>289</v>
      </c>
      <c r="I84" s="96" t="s">
        <v>3</v>
      </c>
      <c r="J84" s="96" t="s">
        <v>143</v>
      </c>
      <c r="K84" s="99"/>
      <c r="L84" s="99"/>
      <c r="M84" s="99"/>
      <c r="O84" s="96" t="s">
        <v>4</v>
      </c>
      <c r="P84" s="96" t="s">
        <v>10</v>
      </c>
      <c r="Q84" s="96" t="s">
        <v>288</v>
      </c>
      <c r="R84" s="96" t="s">
        <v>12</v>
      </c>
    </row>
    <row r="85" spans="2:21" x14ac:dyDescent="0.25">
      <c r="E85" s="99" t="str">
        <f>E72</f>
        <v>A</v>
      </c>
      <c r="F85" s="27">
        <f t="shared" ref="F85:G92" si="57">F72</f>
        <v>0.79800000000000004</v>
      </c>
      <c r="G85" s="100">
        <f>G72</f>
        <v>2.2799999999999998</v>
      </c>
      <c r="H85" s="100">
        <f>G85-1</f>
        <v>1.2799999999999998</v>
      </c>
      <c r="I85" s="99">
        <f>F85*$C$92</f>
        <v>4355.8829999999998</v>
      </c>
      <c r="J85" s="21">
        <f>I85*$C$88</f>
        <v>292715337.59999996</v>
      </c>
      <c r="K85" s="135">
        <f>IF(AND(C90=2,C89="P"),T!$I$66,IF(AND(C90=4,C89="P"),T!$I$67,IF(AND(C90=6,C89="P"),T!$I$68,IF(AND(C90=8,C89="P"),T!$I$69,IF(AND(C90=10,C89="P"),T!$I$70,IF(AND(C90=12,C89="P"),T!$I$71,0))))))</f>
        <v>0</v>
      </c>
      <c r="L85" s="135">
        <f>IF(AND(C90=2,C89="L"),T!$J$66,IF(AND(C90=4,C89="L"),T!$J$67,IF(AND(C90=6,C89="L"),T!$J$68,IF(AND(C90=8,C89="L"),T!$J$69,IF(AND(C90=10,C89="L"),T!$J$70,IF(AND(C90=12,C89="L"),T!$J$71,0))))))</f>
        <v>66.72</v>
      </c>
      <c r="M85" s="135">
        <f>IF(AND(C90=2,C89="M"),T!$K$66,IF(AND(C90=4,C89="M"),T!$K$67,IF(AND(C90=6,C89="M"),T!$K$68,IF(AND(C90=8,C89="M"),T!$K$69,IF(AND(C90=10,C89="M"),T!$K$70,IF(AND(C90=12,C89="M"),T!$K$71,0))))))</f>
        <v>0</v>
      </c>
      <c r="O85" s="99">
        <f t="shared" ref="O85:O91" si="58">SUM(K85:M85)</f>
        <v>66.72</v>
      </c>
      <c r="P85" s="7">
        <f>C$88*3600/(O85*1000)</f>
        <v>3625.8992805755397</v>
      </c>
      <c r="Q85" s="7">
        <f>P85*I85</f>
        <v>15793993.035971222</v>
      </c>
      <c r="R85" s="99">
        <f>Q85*H85</f>
        <v>20216311.08604316</v>
      </c>
      <c r="U85" s="122"/>
    </row>
    <row r="86" spans="2:21" x14ac:dyDescent="0.25">
      <c r="E86" s="99" t="str">
        <f t="shared" ref="E86:E92" si="59">E73</f>
        <v xml:space="preserve"> B</v>
      </c>
      <c r="F86" s="27">
        <f t="shared" si="57"/>
        <v>3.4000000000000002E-2</v>
      </c>
      <c r="G86" s="100">
        <f t="shared" si="57"/>
        <v>12.81</v>
      </c>
      <c r="H86" s="100">
        <f t="shared" ref="H86:H92" si="60">G86-1</f>
        <v>11.81</v>
      </c>
      <c r="I86" s="99">
        <f t="shared" ref="I86:I92" si="61">C$40*F86</f>
        <v>185.58900000000003</v>
      </c>
      <c r="J86" s="21">
        <f t="shared" ref="J86:J92" si="62">I86*$C$88</f>
        <v>12471580.800000003</v>
      </c>
      <c r="K86" s="135">
        <f>IF(AND(C90=2,C89="P"),T!$I$56,IF(AND(C90=4,C89="P"),T!$I$57,IF(AND(C90=6,C89="P"),T!$I$58,IF(AND(C90=8,C89="P"),T!$I$59,IF(AND(C90=10,C89="P"),T!$I$60,IF(AND(C90=12,C89="P"),T!$I$61,0))))))</f>
        <v>0</v>
      </c>
      <c r="L86" s="135">
        <f>IF(AND(C90=2,C89="L"),T!$J$56,IF(AND(C90=4,C89="L"),T!$J$57,IF(AND(C90=6,C89="L"),T!$J$58,IF(AND(C90=8,C89="L"),T!$J$59,IF(AND(C90=10,C89="L"),T!$J$60,IF(AND(C90=12,C89="L"),T!$J$61,0))))))</f>
        <v>62.78</v>
      </c>
      <c r="M86" s="135">
        <f>IF(AND(C90=2,C89="M"),T!$K$56,IF(AND(C90=4,C89="M"),T!$K$57,IF(AND(C90=6,C89="M"),T!$K$58,IF(AND(C90=8,C89="M"),T!$K$59,IF(AND(C90=10,C89="M"),T!$K$60,IF(AND(C90=12,C89="M"),T!$K$61,0))))))</f>
        <v>0</v>
      </c>
      <c r="O86" s="99">
        <f t="shared" si="58"/>
        <v>62.78</v>
      </c>
      <c r="P86" s="7">
        <f t="shared" ref="P86:P92" si="63">C$88*3600/(O86*1000)</f>
        <v>3853.4565148136348</v>
      </c>
      <c r="Q86" s="7">
        <f t="shared" ref="Q86:Q92" si="64">P86*I86</f>
        <v>715159.14112774783</v>
      </c>
      <c r="R86" s="99">
        <f t="shared" ref="R86:R92" si="65">Q86*H86</f>
        <v>8446029.4567187019</v>
      </c>
    </row>
    <row r="87" spans="2:21" x14ac:dyDescent="0.25">
      <c r="B87" s="107" t="str">
        <f t="shared" ref="B87:B92" si="66">B74</f>
        <v>Tramo</v>
      </c>
      <c r="C87" s="99">
        <f>MCI!I21</f>
        <v>7</v>
      </c>
      <c r="E87" s="99" t="str">
        <f t="shared" si="59"/>
        <v>C2</v>
      </c>
      <c r="F87" s="27">
        <f t="shared" si="57"/>
        <v>7.0166666666666669E-2</v>
      </c>
      <c r="G87" s="100">
        <f t="shared" si="57"/>
        <v>1.37</v>
      </c>
      <c r="H87" s="100">
        <f t="shared" si="60"/>
        <v>0.37000000000000011</v>
      </c>
      <c r="I87" s="99">
        <f t="shared" si="61"/>
        <v>383.00475</v>
      </c>
      <c r="J87" s="21">
        <f t="shared" si="62"/>
        <v>25737919.199999999</v>
      </c>
      <c r="K87" s="135">
        <f>IF(AND(C90=2,C89="P"),T!$I$46,IF(AND(C90=4,C89="P"),T!$I$47,IF(AND(C90=6,C89="P"),T!$I$48,IF(AND(C90=8,C89="P"),T!$I$49,IF(AND(C90=10,C89="P"),T!$I$50,IF(AND(C90=12,C89="P"),T!$I$51,0))))))</f>
        <v>0</v>
      </c>
      <c r="L87" s="135">
        <f>IF(AND(C90=2,C89="L"),T!$J$46,IF(AND(C90=4,C89="L"),T!$J$47,IF(AND(C90=6,C89="L"),T!$J$48,IF(AND(C90=8,C89="L"),T!$J$49,IF(AND(C90=10,C89="L"),T!$J$50,IF(AND(C90=12,C89="L"),T!$J$51,0))))))</f>
        <v>54.69</v>
      </c>
      <c r="M87" s="135">
        <f>IF(AND(C90=2,C89="M"),T!$K$46,IF(AND(C90=4,C89="M"),T!$K$47,IF(AND(C90=6,C89="M"),T!$K$48,IF(AND(C90=8,C89="M"),T!$K$49,IF(AND(C90=10,C89="M"),T!$K$50,IF(AND(C90=12,C89="M"),T!$K$51,0))))))</f>
        <v>0</v>
      </c>
      <c r="O87" s="99">
        <f t="shared" si="58"/>
        <v>54.69</v>
      </c>
      <c r="P87" s="7">
        <f t="shared" si="63"/>
        <v>4423.4777838727368</v>
      </c>
      <c r="Q87" s="7">
        <f t="shared" si="64"/>
        <v>1694213.0027427317</v>
      </c>
      <c r="R87" s="99">
        <f t="shared" si="65"/>
        <v>626858.81101481093</v>
      </c>
    </row>
    <row r="88" spans="2:21" x14ac:dyDescent="0.25">
      <c r="B88" s="107" t="str">
        <f t="shared" si="66"/>
        <v>Longitud (m)</v>
      </c>
      <c r="C88" s="76">
        <f>MCI!I23</f>
        <v>67200</v>
      </c>
      <c r="E88" s="99" t="str">
        <f t="shared" si="59"/>
        <v>C3</v>
      </c>
      <c r="F88" s="27">
        <f t="shared" si="57"/>
        <v>2.0833333333333332E-2</v>
      </c>
      <c r="G88" s="100">
        <f t="shared" si="57"/>
        <v>1.23</v>
      </c>
      <c r="H88" s="100">
        <f t="shared" si="60"/>
        <v>0.22999999999999998</v>
      </c>
      <c r="I88" s="99">
        <f t="shared" si="61"/>
        <v>113.71875</v>
      </c>
      <c r="J88" s="21">
        <f t="shared" si="62"/>
        <v>7641900</v>
      </c>
      <c r="K88" s="135">
        <f>IF(AND(C90=2,C89="P"),T!$I$36,IF(AND(C90=4,C89="P"),T!$I$37,IF(AND(C90=6,C89="P"),T!$I$38,IF(AND(C90=8,C89="P"),T!$I$39,IF(AND(C90=10,C89="P"),T!$I$40,IF(AND(C90=12,C89="P"),T!$I$41,0))))))</f>
        <v>0</v>
      </c>
      <c r="L88" s="135">
        <f>IF(AND(C90=2,C89="L"),T!$J$36,IF(AND(C90=4,C89="L"),T!$J$37,IF(AND(C90=6,C89="L"),T!$J$38,IF(AND(C90=8,C89="L"),T!$J$39,IF(AND(C90=10,C89="L"),T!$J$40,IF(AND(C90=12,C89="L"),T!$J$41,0))))))</f>
        <v>46.88</v>
      </c>
      <c r="M88" s="135">
        <f>IF(AND(C90=2,C89="M"),T!$K$36,IF(AND(C90=4,C89="M"),T!$K$37,IF(AND(C90=6,C89="M"),T!$K$38,IF(AND(C90=8,C89="M"),T!$K$39,IF(AND(C90=10,C89="M"),T!$K$40,IF(AND(C90=12,C89="M"),T!$K$41,0))))))</f>
        <v>0</v>
      </c>
      <c r="O88" s="99">
        <f t="shared" si="58"/>
        <v>46.88</v>
      </c>
      <c r="P88" s="7">
        <f t="shared" si="63"/>
        <v>5160.4095563139936</v>
      </c>
      <c r="Q88" s="7">
        <f t="shared" si="64"/>
        <v>586835.324232082</v>
      </c>
      <c r="R88" s="99">
        <f t="shared" si="65"/>
        <v>134972.12457337885</v>
      </c>
    </row>
    <row r="89" spans="2:21" x14ac:dyDescent="0.25">
      <c r="B89" s="107" t="str">
        <f t="shared" si="66"/>
        <v>Tipo de terreno</v>
      </c>
      <c r="C89" s="100" t="str">
        <f>IF(MCI!I24=LISTA!A2,"P",IF(MCI!I24=LISTA!A3,"L",IF(MCI!I24=LISTA!A4,"M",0)))</f>
        <v>L</v>
      </c>
      <c r="E89" s="99" t="str">
        <f t="shared" si="59"/>
        <v>T3S2</v>
      </c>
      <c r="F89" s="27">
        <f t="shared" si="57"/>
        <v>4.8333333333333339E-2</v>
      </c>
      <c r="G89" s="100">
        <f t="shared" si="57"/>
        <v>1.1399999999999999</v>
      </c>
      <c r="H89" s="100">
        <f t="shared" si="60"/>
        <v>0.1399999999999999</v>
      </c>
      <c r="I89" s="99">
        <f t="shared" si="61"/>
        <v>263.82750000000004</v>
      </c>
      <c r="J89" s="21">
        <f t="shared" si="62"/>
        <v>17729208.000000004</v>
      </c>
      <c r="K89" s="135">
        <f>IF(AND(C90=2,C89="P"),T!$I$26,IF(AND(C90=4,C89="P"),T!$I$27,IF(AND(C90=6,C89="P"),T!$I$28,IF(AND(C90=8,C89="P"),T!$I$29,IF(AND(C90=10,C89="P"),T!$I$30,IF(AND(C90=12,C89="P"),T!$I$31,0))))))</f>
        <v>0</v>
      </c>
      <c r="L89" s="135">
        <f>IF(AND(C90=2,C89="L"),T!$J$26,IF(AND(C90=4,C89="L"),T!$J$27,IF(AND(C90=6,C89="L"),T!$J$28,IF(AND(C90=8,C89="L"),T!$J$29,IF(AND(C90=10,C89="L"),T!$J$30,IF(AND(C90=12,C89="L"),T!$J$31,0))))))</f>
        <v>51.04</v>
      </c>
      <c r="M89" s="135">
        <f>IF(AND(C90=2,C89="M"),T!$K$26,IF(AND(C90=4,C89="M"),T!$K$27,IF(AND(C90=6,C89="M"),T!$K$28,IF(AND(C90=8,C89="M"),T!$K$29,IF(AND(C90=10,C89="M"),T!$K$30,IF(AND(C90=12,C89="M"),T!$K$31,0))))))</f>
        <v>0</v>
      </c>
      <c r="O89" s="99">
        <f t="shared" si="58"/>
        <v>51.04</v>
      </c>
      <c r="P89" s="7">
        <f t="shared" si="63"/>
        <v>4739.8119122257058</v>
      </c>
      <c r="Q89" s="7">
        <f t="shared" si="64"/>
        <v>1250492.7272727275</v>
      </c>
      <c r="R89" s="99">
        <f t="shared" si="65"/>
        <v>175068.98181818172</v>
      </c>
    </row>
    <row r="90" spans="2:21" x14ac:dyDescent="0.25">
      <c r="B90" s="107" t="str">
        <f t="shared" si="66"/>
        <v>IIR</v>
      </c>
      <c r="C90" s="77">
        <f>MCI!I25</f>
        <v>2</v>
      </c>
      <c r="E90" s="99" t="str">
        <f t="shared" si="59"/>
        <v xml:space="preserve"> T3S3</v>
      </c>
      <c r="F90" s="27">
        <f t="shared" si="57"/>
        <v>1.55E-2</v>
      </c>
      <c r="G90" s="100">
        <f t="shared" si="57"/>
        <v>1.1399999999999999</v>
      </c>
      <c r="H90" s="100">
        <f t="shared" si="60"/>
        <v>0.1399999999999999</v>
      </c>
      <c r="I90" s="99">
        <f t="shared" si="61"/>
        <v>84.606750000000005</v>
      </c>
      <c r="J90" s="21">
        <f t="shared" si="62"/>
        <v>5685573.6000000006</v>
      </c>
      <c r="K90" s="135">
        <f>IF(AND(C90=2,C89="P"),T!$I$16,IF(AND(C90=4,C89="P"),T!$I$17,IF(AND(C90=6,C89="P"),T!$I$18,IF(AND(C90=8,C89="P"),T!$I$19,IF(AND(C90=10,C89="P"),T!$I$20,IF(AND(C90=12,C89="P"),T!$I$21,0))))))</f>
        <v>0</v>
      </c>
      <c r="L90" s="135">
        <f>IF(AND(C90=2,C89="L"),T!$J$16,IF(AND(C90=4,C89="L"),T!$J$17,IF(AND(C90=6,C89="L"),T!$J$18,IF(AND(C90=8,C89="L"),T!$J$19,IF(AND(C90=10,C89="L"),T!$J$20,IF(AND(C90=12,C89="L"),T!$J$21,0))))))</f>
        <v>44</v>
      </c>
      <c r="M90" s="135">
        <f>IF(AND(C90=2,C89="M"),T!$K$16,IF(AND(C90=4,C89="M"),T!$K$17,IF(AND(C90=6,C89="M"),T!$K$18,IF(AND(C90=8,C89="M"),T!$K$19,IF(AND(C90=10,C89="M"),T!$K$20,IF(AND(C90=12,C89="M"),T!$K$21,0))))))</f>
        <v>0</v>
      </c>
      <c r="O90" s="99">
        <f t="shared" si="58"/>
        <v>44</v>
      </c>
      <c r="P90" s="7">
        <f t="shared" si="63"/>
        <v>5498.181818181818</v>
      </c>
      <c r="Q90" s="7">
        <f t="shared" si="64"/>
        <v>465183.29454545456</v>
      </c>
      <c r="R90" s="99">
        <f t="shared" si="65"/>
        <v>65125.661236363594</v>
      </c>
    </row>
    <row r="91" spans="2:21" x14ac:dyDescent="0.25">
      <c r="B91" s="107" t="str">
        <f t="shared" si="66"/>
        <v>Descripción</v>
      </c>
      <c r="C91" s="104" t="str">
        <f>MCI!I22</f>
        <v>Jilotepec - Palmillas (57D)</v>
      </c>
      <c r="E91" s="99" t="str">
        <f t="shared" si="59"/>
        <v xml:space="preserve"> T3S2R4</v>
      </c>
      <c r="F91" s="27">
        <f t="shared" si="57"/>
        <v>1.0166666666666666E-2</v>
      </c>
      <c r="G91" s="100">
        <f t="shared" si="57"/>
        <v>1.0900000000000001</v>
      </c>
      <c r="H91" s="100">
        <f t="shared" si="60"/>
        <v>9.000000000000008E-2</v>
      </c>
      <c r="I91" s="99">
        <f t="shared" si="61"/>
        <v>55.494749999999996</v>
      </c>
      <c r="J91" s="21">
        <f t="shared" si="62"/>
        <v>3729247.1999999997</v>
      </c>
      <c r="K91" s="135">
        <f>IF(AND(C90=2,C89="P"),T!$I$6,IF(AND(C90=4,C89="P"),T!$I$7,IF(AND(C90=6,C89="P"),T!$I$8,IF(AND(C90=8,C89="P"),T!$I$9,IF(AND(C90=10,C89="P"),T!$I$10,IF(AND(C90=12,C89="P"),T!$I$11,0))))))</f>
        <v>0</v>
      </c>
      <c r="L91" s="135">
        <f>IF(AND(C90=2,C89="L"),T!$J$6,IF(AND(C90=4,C89="L"),T!$J$7,IF(AND(C90=6,C89="L"),T!$J$8,IF(AND(C90=8,C89="L"),T!$J$9,IF(AND(C90=10,C89="L"),T!$J$10,IF(AND(C90=12,C89="L"),T!$J$11,0))))))</f>
        <v>34.42</v>
      </c>
      <c r="M91" s="135">
        <f>IF(AND(C90=2,C89="M"),T!$K$6,IF(AND(C90=4,C89="M"),T!$K$7,IF(AND(C90=6,C89="M"),T!$K$8,IF(AND(C90=8,C89="M"),T!$K$9,IF(AND(C90=10,C89="M"),T!$K$10,IF(AND(C90=12,C89="M"),T!$K$11,0))))))</f>
        <v>0</v>
      </c>
      <c r="O91" s="99">
        <f t="shared" si="58"/>
        <v>34.42</v>
      </c>
      <c r="P91" s="7">
        <f t="shared" si="63"/>
        <v>7028.4718187100525</v>
      </c>
      <c r="Q91" s="7">
        <f t="shared" si="64"/>
        <v>390043.28646135965</v>
      </c>
      <c r="R91" s="99">
        <f t="shared" si="65"/>
        <v>35103.895781522398</v>
      </c>
    </row>
    <row r="92" spans="2:21" x14ac:dyDescent="0.25">
      <c r="B92" s="107" t="str">
        <f t="shared" si="66"/>
        <v>TDPARP (vpd)</v>
      </c>
      <c r="C92" s="100">
        <f>C79</f>
        <v>5458.5</v>
      </c>
      <c r="E92" s="99" t="str">
        <f t="shared" si="59"/>
        <v xml:space="preserve"> OTROS</v>
      </c>
      <c r="F92" s="27">
        <f t="shared" si="57"/>
        <v>3.0000000000000768E-3</v>
      </c>
      <c r="G92" s="100">
        <f t="shared" si="57"/>
        <v>1.0900000000000001</v>
      </c>
      <c r="H92" s="100">
        <f t="shared" si="60"/>
        <v>9.000000000000008E-2</v>
      </c>
      <c r="I92" s="99">
        <f t="shared" si="61"/>
        <v>16.375500000000418</v>
      </c>
      <c r="J92" s="21">
        <f t="shared" si="62"/>
        <v>1100433.600000028</v>
      </c>
      <c r="K92" s="99"/>
      <c r="L92" s="99"/>
      <c r="M92" s="99"/>
      <c r="O92" s="140">
        <f>AVERAGE(O85:O91)</f>
        <v>51.504285714285722</v>
      </c>
      <c r="P92" s="7">
        <f t="shared" si="63"/>
        <v>4697.0848473081287</v>
      </c>
      <c r="Q92" s="7">
        <f t="shared" si="64"/>
        <v>76917.112917096223</v>
      </c>
      <c r="R92" s="99">
        <f t="shared" si="65"/>
        <v>6922.5401625386667</v>
      </c>
    </row>
    <row r="93" spans="2:21" x14ac:dyDescent="0.25">
      <c r="E93" s="19"/>
      <c r="F93" s="43"/>
      <c r="G93" s="43"/>
      <c r="H93" s="43"/>
      <c r="I93" s="19"/>
      <c r="J93" s="44"/>
      <c r="Q93" s="82" t="s">
        <v>17</v>
      </c>
      <c r="R93" s="99">
        <f>SUM(R85:R92)</f>
        <v>29706392.557348657</v>
      </c>
    </row>
    <row r="95" spans="2:21" x14ac:dyDescent="0.25">
      <c r="E95" s="8" t="s">
        <v>293</v>
      </c>
    </row>
    <row r="97" spans="2:16" x14ac:dyDescent="0.25">
      <c r="E97" s="78" t="s">
        <v>141</v>
      </c>
      <c r="F97" s="82">
        <v>1</v>
      </c>
      <c r="G97" s="82">
        <v>2</v>
      </c>
      <c r="H97" s="82">
        <v>3</v>
      </c>
      <c r="I97" s="82">
        <v>4</v>
      </c>
      <c r="J97" s="82">
        <v>5</v>
      </c>
      <c r="O97" s="82">
        <v>6</v>
      </c>
      <c r="P97" s="82">
        <v>7</v>
      </c>
    </row>
    <row r="98" spans="2:16" s="122" customFormat="1" x14ac:dyDescent="0.25">
      <c r="B98" s="106"/>
      <c r="E98" s="78" t="s">
        <v>170</v>
      </c>
      <c r="F98" s="162" t="str">
        <f>C13</f>
        <v>Toluca - Atlacomulco (57)</v>
      </c>
      <c r="G98" s="162" t="str">
        <f>C26</f>
        <v>Atlacomulco - Acambay (57)</v>
      </c>
      <c r="H98" s="162" t="str">
        <f>C39</f>
        <v>Atlacomulco - Acambay (40D)</v>
      </c>
      <c r="I98" s="162" t="str">
        <f>C52</f>
        <v>Acambay - Palmillas (57)</v>
      </c>
      <c r="J98" s="162" t="str">
        <f>C65</f>
        <v>Toluca - Jilotepec (57)</v>
      </c>
      <c r="K98" s="163"/>
      <c r="L98" s="163"/>
      <c r="M98" s="163"/>
      <c r="N98" s="163"/>
      <c r="O98" s="162" t="str">
        <f>C78</f>
        <v>Acambay - Jilotepec (40D)</v>
      </c>
      <c r="P98" s="162" t="str">
        <f>C91</f>
        <v>Jilotepec - Palmillas (57D)</v>
      </c>
    </row>
    <row r="99" spans="2:16" x14ac:dyDescent="0.25">
      <c r="E99" s="78" t="s">
        <v>236</v>
      </c>
      <c r="F99" s="143">
        <f>MCI!C23</f>
        <v>45400</v>
      </c>
      <c r="G99" s="143">
        <f>MCI!D23</f>
        <v>23300</v>
      </c>
      <c r="H99" s="143">
        <f>MCI!E23</f>
        <v>23300</v>
      </c>
      <c r="I99" s="143">
        <f>MCI!F23</f>
        <v>53900</v>
      </c>
      <c r="J99" s="143">
        <f>MCI!G23</f>
        <v>83100</v>
      </c>
      <c r="K99" s="144"/>
      <c r="L99" s="144"/>
      <c r="M99" s="144"/>
      <c r="N99" s="144"/>
      <c r="O99" s="143">
        <f>MCI!H23</f>
        <v>39100</v>
      </c>
      <c r="P99" s="143">
        <f>MCI!I23</f>
        <v>67200</v>
      </c>
    </row>
    <row r="100" spans="2:16" s="122" customFormat="1" x14ac:dyDescent="0.25">
      <c r="B100" s="106"/>
      <c r="E100" s="157" t="s">
        <v>305</v>
      </c>
      <c r="F100" s="159">
        <f>P7*60/3600</f>
        <v>41.310282074613283</v>
      </c>
      <c r="G100" s="159">
        <f>P20*60/3600</f>
        <v>27.541371158392433</v>
      </c>
      <c r="H100" s="159">
        <f>P33*60/3600</f>
        <v>27.166731441896619</v>
      </c>
      <c r="I100" s="159">
        <f>P46*60/3600</f>
        <v>62.844928099494751</v>
      </c>
      <c r="J100" s="159">
        <f>P59*60/3600</f>
        <v>81.871921182266007</v>
      </c>
      <c r="K100" s="160"/>
      <c r="L100" s="160"/>
      <c r="M100" s="160"/>
      <c r="N100" s="159"/>
      <c r="O100" s="159">
        <f>P72*60/3600</f>
        <v>35.577797998180159</v>
      </c>
      <c r="P100" s="159">
        <f>P85*60/3600</f>
        <v>60.431654676258994</v>
      </c>
    </row>
    <row r="101" spans="2:16" x14ac:dyDescent="0.25">
      <c r="E101" s="78" t="s">
        <v>110</v>
      </c>
      <c r="F101" s="143" t="str">
        <f>MCI!C24</f>
        <v>Lomerío</v>
      </c>
      <c r="G101" s="143" t="str">
        <f>MCI!D24</f>
        <v>Montañoso</v>
      </c>
      <c r="H101" s="143" t="str">
        <f>MCI!E24</f>
        <v>Montañoso</v>
      </c>
      <c r="I101" s="143" t="str">
        <f>MCI!F24</f>
        <v>Montañoso</v>
      </c>
      <c r="J101" s="143" t="str">
        <f>MCI!G24</f>
        <v>Lomerío</v>
      </c>
      <c r="K101" s="144"/>
      <c r="L101" s="144"/>
      <c r="M101" s="144"/>
      <c r="N101" s="144"/>
      <c r="O101" s="143" t="str">
        <f>MCI!H24</f>
        <v>Lomerío</v>
      </c>
      <c r="P101" s="143" t="str">
        <f>MCI!I24</f>
        <v>Lomerío</v>
      </c>
    </row>
    <row r="102" spans="2:16" x14ac:dyDescent="0.25">
      <c r="E102" s="78" t="s">
        <v>125</v>
      </c>
      <c r="F102" s="143">
        <f>MCI!C25</f>
        <v>4</v>
      </c>
      <c r="G102" s="143">
        <f>MCI!D25</f>
        <v>6</v>
      </c>
      <c r="H102" s="143">
        <f>MCI!E25</f>
        <v>4</v>
      </c>
      <c r="I102" s="143">
        <f>MCI!F25</f>
        <v>4</v>
      </c>
      <c r="J102" s="143">
        <f>MCI!G25</f>
        <v>8</v>
      </c>
      <c r="K102" s="144"/>
      <c r="L102" s="144"/>
      <c r="M102" s="144"/>
      <c r="N102" s="144"/>
      <c r="O102" s="143">
        <f>MCI!H25</f>
        <v>4</v>
      </c>
      <c r="P102" s="143">
        <f>MCI!I25</f>
        <v>2</v>
      </c>
    </row>
    <row r="103" spans="2:16" x14ac:dyDescent="0.25">
      <c r="E103" s="145" t="s">
        <v>291</v>
      </c>
      <c r="F103" s="143">
        <f>R15</f>
        <v>20303329.369729865</v>
      </c>
      <c r="G103" s="143">
        <f>R28</f>
        <v>13617120.536008334</v>
      </c>
      <c r="H103" s="143">
        <f>R41</f>
        <v>13434579.058722368</v>
      </c>
      <c r="I103" s="143">
        <f>R54</f>
        <v>31078275.161593806</v>
      </c>
      <c r="J103" s="143">
        <f>R67</f>
        <v>40280524.362022392</v>
      </c>
      <c r="K103" s="146"/>
      <c r="L103" s="146"/>
      <c r="M103" s="146"/>
      <c r="N103" s="146"/>
      <c r="O103" s="143">
        <f>R80</f>
        <v>17485907.012256335</v>
      </c>
      <c r="P103" s="143">
        <f>R93</f>
        <v>29706392.557348657</v>
      </c>
    </row>
    <row r="104" spans="2:16" s="122" customFormat="1" x14ac:dyDescent="0.25">
      <c r="B104" s="106"/>
      <c r="E104" s="26" t="s">
        <v>76</v>
      </c>
      <c r="F104" s="55" t="s">
        <v>303</v>
      </c>
      <c r="G104" s="149"/>
      <c r="H104" s="149"/>
      <c r="I104" s="161"/>
      <c r="J104" s="161"/>
      <c r="K104" s="158"/>
      <c r="L104" s="158"/>
      <c r="M104" s="158"/>
      <c r="N104" s="161"/>
      <c r="O104" s="161"/>
      <c r="P104" s="161"/>
    </row>
    <row r="105" spans="2:16" s="122" customFormat="1" x14ac:dyDescent="0.25">
      <c r="B105" s="106"/>
      <c r="E105" s="18"/>
      <c r="K105" s="90"/>
      <c r="L105" s="90"/>
      <c r="M105" s="90"/>
    </row>
    <row r="106" spans="2:16" x14ac:dyDescent="0.25">
      <c r="E106" s="8" t="s">
        <v>294</v>
      </c>
      <c r="F106" s="88"/>
      <c r="G106" s="88"/>
      <c r="H106" s="88"/>
      <c r="I106" s="88"/>
      <c r="J106" s="88"/>
      <c r="K106" s="88"/>
      <c r="L106" s="88"/>
      <c r="M106" s="88"/>
    </row>
    <row r="107" spans="2:16" x14ac:dyDescent="0.25">
      <c r="E107" s="8"/>
      <c r="F107" s="88"/>
      <c r="G107" s="88"/>
      <c r="H107" s="88"/>
      <c r="I107" s="88"/>
      <c r="J107" s="88"/>
      <c r="K107" s="88"/>
      <c r="L107" s="88"/>
      <c r="M107" s="88"/>
    </row>
    <row r="108" spans="2:16" x14ac:dyDescent="0.25">
      <c r="E108" s="346" t="s">
        <v>286</v>
      </c>
      <c r="F108" s="343" t="s">
        <v>69</v>
      </c>
      <c r="G108" s="343" t="s">
        <v>237</v>
      </c>
      <c r="H108" s="343" t="s">
        <v>28</v>
      </c>
      <c r="I108" s="343" t="s">
        <v>238</v>
      </c>
      <c r="J108" s="114" t="s">
        <v>273</v>
      </c>
      <c r="K108" s="81"/>
      <c r="L108" s="81"/>
      <c r="M108" s="81"/>
      <c r="N108" s="99"/>
    </row>
    <row r="109" spans="2:16" x14ac:dyDescent="0.25">
      <c r="E109" s="347"/>
      <c r="F109" s="344"/>
      <c r="G109" s="344"/>
      <c r="H109" s="344"/>
      <c r="I109" s="344"/>
      <c r="J109" s="99" t="s">
        <v>142</v>
      </c>
      <c r="K109" s="34" t="s">
        <v>22</v>
      </c>
      <c r="L109" s="34" t="s">
        <v>23</v>
      </c>
      <c r="M109" s="34" t="s">
        <v>257</v>
      </c>
      <c r="N109" s="34" t="s">
        <v>258</v>
      </c>
    </row>
    <row r="110" spans="2:16" x14ac:dyDescent="0.25">
      <c r="E110" s="78" t="s">
        <v>239</v>
      </c>
      <c r="F110" s="21">
        <f>MCI!C31</f>
        <v>1</v>
      </c>
      <c r="G110" s="21">
        <f>MCI!D31</f>
        <v>2</v>
      </c>
      <c r="H110" s="21">
        <f>MCI!E31</f>
        <v>4</v>
      </c>
      <c r="I110" s="21" t="str">
        <f>MCI!F31</f>
        <v>N/A</v>
      </c>
      <c r="J110" s="118">
        <f t="shared" ref="J110:J115" si="67">SUM(K110:N110)/1000</f>
        <v>122.6</v>
      </c>
      <c r="K110" s="135">
        <f t="shared" ref="K110:N115" si="68">IF(F110=$F$97,$F$99,IF(F110=$G$97,$G$99,IF(F110=$H$97,$H$99,IF(F110=$I$97,$I$99,IF(F110=$J$97,$J$99,IF(F110=$O$97,$O$99,IF(F110=$P$97,$P$99,0)))))))</f>
        <v>45400</v>
      </c>
      <c r="L110" s="141">
        <f t="shared" si="68"/>
        <v>23300</v>
      </c>
      <c r="M110" s="141">
        <f t="shared" si="68"/>
        <v>53900</v>
      </c>
      <c r="N110" s="141">
        <f t="shared" si="68"/>
        <v>0</v>
      </c>
    </row>
    <row r="111" spans="2:16" x14ac:dyDescent="0.25">
      <c r="E111" s="78" t="s">
        <v>241</v>
      </c>
      <c r="F111" s="21">
        <f>MCI!C32</f>
        <v>1</v>
      </c>
      <c r="G111" s="21">
        <f>MCI!D32</f>
        <v>2</v>
      </c>
      <c r="H111" s="21">
        <f>MCI!E32</f>
        <v>6</v>
      </c>
      <c r="I111" s="21">
        <f>MCI!F32</f>
        <v>7</v>
      </c>
      <c r="J111" s="118">
        <f t="shared" si="67"/>
        <v>175</v>
      </c>
      <c r="K111" s="135">
        <f t="shared" si="68"/>
        <v>45400</v>
      </c>
      <c r="L111" s="141">
        <f t="shared" si="68"/>
        <v>23300</v>
      </c>
      <c r="M111" s="141">
        <f t="shared" si="68"/>
        <v>39100</v>
      </c>
      <c r="N111" s="141">
        <f t="shared" si="68"/>
        <v>67200</v>
      </c>
    </row>
    <row r="112" spans="2:16" x14ac:dyDescent="0.25">
      <c r="E112" s="78" t="s">
        <v>240</v>
      </c>
      <c r="F112" s="21">
        <f>MCI!C33</f>
        <v>1</v>
      </c>
      <c r="G112" s="21">
        <f>MCI!D33</f>
        <v>3</v>
      </c>
      <c r="H112" s="21">
        <f>MCI!E33</f>
        <v>4</v>
      </c>
      <c r="I112" s="21" t="str">
        <f>MCI!F33</f>
        <v>N/A</v>
      </c>
      <c r="J112" s="118">
        <f t="shared" si="67"/>
        <v>122.6</v>
      </c>
      <c r="K112" s="135">
        <f t="shared" si="68"/>
        <v>45400</v>
      </c>
      <c r="L112" s="141">
        <f t="shared" si="68"/>
        <v>23300</v>
      </c>
      <c r="M112" s="141">
        <f t="shared" si="68"/>
        <v>53900</v>
      </c>
      <c r="N112" s="141">
        <f t="shared" si="68"/>
        <v>0</v>
      </c>
    </row>
    <row r="113" spans="5:20" x14ac:dyDescent="0.25">
      <c r="E113" s="78" t="s">
        <v>242</v>
      </c>
      <c r="F113" s="21">
        <f>MCI!C34</f>
        <v>1</v>
      </c>
      <c r="G113" s="21">
        <f>MCI!D34</f>
        <v>3</v>
      </c>
      <c r="H113" s="21">
        <f>MCI!E34</f>
        <v>6</v>
      </c>
      <c r="I113" s="21">
        <f>MCI!F34</f>
        <v>7</v>
      </c>
      <c r="J113" s="118">
        <f t="shared" si="67"/>
        <v>175</v>
      </c>
      <c r="K113" s="135">
        <f t="shared" si="68"/>
        <v>45400</v>
      </c>
      <c r="L113" s="141">
        <f t="shared" si="68"/>
        <v>23300</v>
      </c>
      <c r="M113" s="141">
        <f t="shared" si="68"/>
        <v>39100</v>
      </c>
      <c r="N113" s="141">
        <f t="shared" si="68"/>
        <v>67200</v>
      </c>
    </row>
    <row r="114" spans="5:20" x14ac:dyDescent="0.25">
      <c r="E114" s="78" t="s">
        <v>243</v>
      </c>
      <c r="F114" s="21">
        <f>MCI!C35</f>
        <v>5</v>
      </c>
      <c r="G114" s="21">
        <f>MCI!D35</f>
        <v>6</v>
      </c>
      <c r="H114" s="21">
        <f>MCI!E35</f>
        <v>4</v>
      </c>
      <c r="I114" s="21" t="str">
        <f>MCI!F35</f>
        <v>N/A</v>
      </c>
      <c r="J114" s="118">
        <f t="shared" si="67"/>
        <v>176.1</v>
      </c>
      <c r="K114" s="135">
        <f t="shared" si="68"/>
        <v>83100</v>
      </c>
      <c r="L114" s="141">
        <f t="shared" si="68"/>
        <v>39100</v>
      </c>
      <c r="M114" s="141">
        <f t="shared" si="68"/>
        <v>53900</v>
      </c>
      <c r="N114" s="141">
        <f t="shared" si="68"/>
        <v>0</v>
      </c>
    </row>
    <row r="115" spans="5:20" x14ac:dyDescent="0.25">
      <c r="E115" s="78" t="s">
        <v>244</v>
      </c>
      <c r="F115" s="21">
        <f>MCI!C36</f>
        <v>5</v>
      </c>
      <c r="G115" s="21">
        <f>MCI!D36</f>
        <v>7</v>
      </c>
      <c r="H115" s="21" t="str">
        <f>MCI!E36</f>
        <v>N/A</v>
      </c>
      <c r="I115" s="21" t="str">
        <f>MCI!F36</f>
        <v>N/A</v>
      </c>
      <c r="J115" s="118">
        <f t="shared" si="67"/>
        <v>150.30000000000001</v>
      </c>
      <c r="K115" s="135">
        <f t="shared" si="68"/>
        <v>83100</v>
      </c>
      <c r="L115" s="141">
        <f t="shared" si="68"/>
        <v>67200</v>
      </c>
      <c r="M115" s="141">
        <f t="shared" si="68"/>
        <v>0</v>
      </c>
      <c r="N115" s="141">
        <f t="shared" si="68"/>
        <v>0</v>
      </c>
    </row>
    <row r="116" spans="5:20" x14ac:dyDescent="0.25">
      <c r="I116" s="149"/>
      <c r="J116" s="129"/>
      <c r="K116" s="33"/>
      <c r="L116" s="33"/>
      <c r="M116" s="33"/>
      <c r="N116" s="148"/>
      <c r="P116" s="28"/>
      <c r="Q116" s="28"/>
      <c r="R116" s="28"/>
    </row>
    <row r="117" spans="5:20" x14ac:dyDescent="0.25">
      <c r="E117" s="8" t="s">
        <v>295</v>
      </c>
      <c r="F117" s="132"/>
      <c r="G117" s="149"/>
      <c r="H117" s="149"/>
      <c r="I117" s="149"/>
      <c r="J117" s="129"/>
      <c r="K117" s="33"/>
      <c r="L117" s="33"/>
      <c r="M117" s="33"/>
      <c r="N117" s="148"/>
      <c r="O117" s="147"/>
      <c r="P117" s="28"/>
      <c r="Q117" s="28"/>
      <c r="R117" s="28"/>
    </row>
    <row r="118" spans="5:20" x14ac:dyDescent="0.25">
      <c r="E118" s="8"/>
      <c r="F118" s="132"/>
      <c r="G118" s="149"/>
      <c r="H118" s="149"/>
      <c r="I118" s="149"/>
      <c r="J118" s="129"/>
      <c r="K118" s="33"/>
      <c r="L118" s="33"/>
      <c r="M118" s="33"/>
      <c r="N118" s="148"/>
      <c r="O118" s="147"/>
      <c r="P118" s="28"/>
      <c r="Q118" s="28"/>
      <c r="R118" s="28"/>
    </row>
    <row r="119" spans="5:20" x14ac:dyDescent="0.25">
      <c r="E119" s="10" t="s">
        <v>61</v>
      </c>
      <c r="F119" s="3">
        <f ca="1">MCI!C66</f>
        <v>27.140362787773366</v>
      </c>
      <c r="G119" s="101" t="s">
        <v>62</v>
      </c>
      <c r="H119" s="5" t="s">
        <v>163</v>
      </c>
      <c r="K119" s="6" t="s">
        <v>63</v>
      </c>
      <c r="L119" s="33"/>
      <c r="M119" s="33"/>
      <c r="N119" s="148"/>
      <c r="O119" s="147"/>
      <c r="P119" s="28"/>
      <c r="Q119" s="28"/>
      <c r="R119" s="28"/>
    </row>
    <row r="120" spans="5:20" x14ac:dyDescent="0.25">
      <c r="E120" s="8"/>
      <c r="F120" s="132"/>
      <c r="G120" s="149"/>
      <c r="H120" s="149"/>
      <c r="I120" s="149"/>
      <c r="J120" s="129"/>
      <c r="K120" s="33"/>
      <c r="L120" s="33"/>
      <c r="M120" s="33"/>
      <c r="N120" s="148"/>
      <c r="O120" s="147"/>
      <c r="P120" s="28"/>
      <c r="Q120" s="28"/>
      <c r="R120" s="28"/>
    </row>
    <row r="121" spans="5:20" x14ac:dyDescent="0.25">
      <c r="E121" s="346" t="s">
        <v>286</v>
      </c>
      <c r="F121" s="343" t="s">
        <v>69</v>
      </c>
      <c r="G121" s="343" t="s">
        <v>237</v>
      </c>
      <c r="H121" s="343" t="s">
        <v>28</v>
      </c>
      <c r="I121" s="343" t="s">
        <v>238</v>
      </c>
      <c r="J121" s="114" t="s">
        <v>296</v>
      </c>
      <c r="K121" s="129"/>
      <c r="L121" s="33"/>
      <c r="M121" s="33"/>
      <c r="N121" s="33"/>
      <c r="O121" s="82" t="s">
        <v>297</v>
      </c>
      <c r="P121" s="82" t="s">
        <v>297</v>
      </c>
      <c r="Q121" s="82" t="s">
        <v>299</v>
      </c>
      <c r="R121" s="82" t="s">
        <v>300</v>
      </c>
      <c r="S121" s="82" t="s">
        <v>301</v>
      </c>
      <c r="T121" s="296" t="s">
        <v>510</v>
      </c>
    </row>
    <row r="122" spans="5:20" x14ac:dyDescent="0.25">
      <c r="E122" s="347"/>
      <c r="F122" s="344"/>
      <c r="G122" s="344"/>
      <c r="H122" s="344"/>
      <c r="I122" s="344"/>
      <c r="J122" s="98" t="s">
        <v>9</v>
      </c>
      <c r="K122" s="34" t="s">
        <v>22</v>
      </c>
      <c r="L122" s="34" t="s">
        <v>23</v>
      </c>
      <c r="M122" s="34" t="s">
        <v>257</v>
      </c>
      <c r="N122" s="34" t="s">
        <v>258</v>
      </c>
      <c r="O122" s="82" t="s">
        <v>9</v>
      </c>
      <c r="P122" s="82" t="s">
        <v>298</v>
      </c>
      <c r="Q122" s="82" t="s">
        <v>14</v>
      </c>
      <c r="R122" s="82" t="s">
        <v>15</v>
      </c>
      <c r="S122" s="82" t="s">
        <v>279</v>
      </c>
      <c r="T122" s="302" t="s">
        <v>530</v>
      </c>
    </row>
    <row r="123" spans="5:20" x14ac:dyDescent="0.25">
      <c r="E123" s="78" t="s">
        <v>239</v>
      </c>
      <c r="F123" s="21">
        <f t="shared" ref="F123:I128" si="69">F110</f>
        <v>1</v>
      </c>
      <c r="G123" s="21">
        <f t="shared" si="69"/>
        <v>2</v>
      </c>
      <c r="H123" s="21">
        <f t="shared" si="69"/>
        <v>4</v>
      </c>
      <c r="I123" s="21" t="str">
        <f t="shared" si="69"/>
        <v>N/A</v>
      </c>
      <c r="J123" s="14">
        <f t="shared" ref="J123:J128" si="70">SUM(K123:N123)</f>
        <v>64998725.067332</v>
      </c>
      <c r="K123" s="135">
        <f t="shared" ref="K123:N128" si="71">IF(F123=$F$97,$F$103,IF(F123=$G$97,$G$103,IF(F123=$H$97,$H$103,IF(F123=$I$97,$I$103,IF(F123=$J$97,$J$103,IF(F123=$O$97,$O$103,IF(F123=$P$97,$P$103,0)))))))</f>
        <v>20303329.369729865</v>
      </c>
      <c r="L123" s="141">
        <f t="shared" si="71"/>
        <v>13617120.536008334</v>
      </c>
      <c r="M123" s="141">
        <f t="shared" si="71"/>
        <v>31078275.161593806</v>
      </c>
      <c r="N123" s="141">
        <f t="shared" si="71"/>
        <v>0</v>
      </c>
      <c r="O123" s="150" t="s">
        <v>302</v>
      </c>
      <c r="P123" s="150" t="str">
        <f>O123</f>
        <v>0**</v>
      </c>
      <c r="Q123" s="150" t="str">
        <f t="shared" ref="Q123:S123" si="72">P123</f>
        <v>0**</v>
      </c>
      <c r="R123" s="150" t="str">
        <f t="shared" si="72"/>
        <v>0**</v>
      </c>
      <c r="S123" s="150" t="str">
        <f t="shared" si="72"/>
        <v>0**</v>
      </c>
      <c r="T123" s="301">
        <f>J123/$J$123</f>
        <v>1</v>
      </c>
    </row>
    <row r="124" spans="5:20" x14ac:dyDescent="0.25">
      <c r="E124" s="78" t="s">
        <v>241</v>
      </c>
      <c r="F124" s="21">
        <f t="shared" si="69"/>
        <v>1</v>
      </c>
      <c r="G124" s="21">
        <f t="shared" si="69"/>
        <v>2</v>
      </c>
      <c r="H124" s="21">
        <f t="shared" si="69"/>
        <v>6</v>
      </c>
      <c r="I124" s="21">
        <f t="shared" si="69"/>
        <v>7</v>
      </c>
      <c r="J124" s="14">
        <f t="shared" si="70"/>
        <v>81112749.475343183</v>
      </c>
      <c r="K124" s="135">
        <f t="shared" si="71"/>
        <v>20303329.369729865</v>
      </c>
      <c r="L124" s="141">
        <f t="shared" si="71"/>
        <v>13617120.536008334</v>
      </c>
      <c r="M124" s="141">
        <f t="shared" si="71"/>
        <v>17485907.012256335</v>
      </c>
      <c r="N124" s="141">
        <f t="shared" si="71"/>
        <v>29706392.557348657</v>
      </c>
      <c r="O124" s="150">
        <f>J124-$J$123</f>
        <v>16114024.408011183</v>
      </c>
      <c r="P124" s="150">
        <f>O124/3600</f>
        <v>4476.1178911142179</v>
      </c>
      <c r="Q124" s="150">
        <f ca="1">P124*$F$119</f>
        <v>121483.46344568291</v>
      </c>
      <c r="R124" s="150">
        <f ca="1">Q124/24</f>
        <v>5061.8109769034545</v>
      </c>
      <c r="S124" s="150">
        <f ca="1">R124/3600</f>
        <v>1.406058604695404</v>
      </c>
      <c r="T124" s="301">
        <f t="shared" ref="T124:T128" si="73">J124/$J$123</f>
        <v>1.2479129304662315</v>
      </c>
    </row>
    <row r="125" spans="5:20" x14ac:dyDescent="0.25">
      <c r="E125" s="78" t="s">
        <v>240</v>
      </c>
      <c r="F125" s="21">
        <f t="shared" si="69"/>
        <v>1</v>
      </c>
      <c r="G125" s="21">
        <f t="shared" si="69"/>
        <v>3</v>
      </c>
      <c r="H125" s="21">
        <f t="shared" si="69"/>
        <v>4</v>
      </c>
      <c r="I125" s="21" t="str">
        <f t="shared" si="69"/>
        <v>N/A</v>
      </c>
      <c r="J125" s="14">
        <f t="shared" si="70"/>
        <v>64816183.590046033</v>
      </c>
      <c r="K125" s="135">
        <f t="shared" si="71"/>
        <v>20303329.369729865</v>
      </c>
      <c r="L125" s="141">
        <f t="shared" si="71"/>
        <v>13434579.058722368</v>
      </c>
      <c r="M125" s="141">
        <f t="shared" si="71"/>
        <v>31078275.161593806</v>
      </c>
      <c r="N125" s="141">
        <f t="shared" si="71"/>
        <v>0</v>
      </c>
      <c r="O125" s="150">
        <f>J125-$J$123</f>
        <v>-182541.47728596628</v>
      </c>
      <c r="P125" s="150">
        <f t="shared" ref="P125:P128" si="74">O125/3600</f>
        <v>-50.705965912768413</v>
      </c>
      <c r="Q125" s="150">
        <f t="shared" ref="Q125:Q128" ca="1" si="75">P125*$F$119</f>
        <v>-1376.1783103770047</v>
      </c>
      <c r="R125" s="150">
        <f t="shared" ref="R125:R128" ca="1" si="76">Q125/24</f>
        <v>-57.340762932375192</v>
      </c>
      <c r="S125" s="150">
        <f t="shared" ref="S125:S128" ca="1" si="77">R125/3600</f>
        <v>-1.5927989703437555E-2</v>
      </c>
      <c r="T125" s="301">
        <f t="shared" si="73"/>
        <v>0.99719161449556326</v>
      </c>
    </row>
    <row r="126" spans="5:20" x14ac:dyDescent="0.25">
      <c r="E126" s="78" t="s">
        <v>242</v>
      </c>
      <c r="F126" s="21">
        <f t="shared" si="69"/>
        <v>1</v>
      </c>
      <c r="G126" s="21">
        <f t="shared" si="69"/>
        <v>3</v>
      </c>
      <c r="H126" s="21">
        <f t="shared" si="69"/>
        <v>6</v>
      </c>
      <c r="I126" s="21">
        <f t="shared" si="69"/>
        <v>7</v>
      </c>
      <c r="J126" s="14">
        <f t="shared" si="70"/>
        <v>80930207.998057216</v>
      </c>
      <c r="K126" s="135">
        <f t="shared" si="71"/>
        <v>20303329.369729865</v>
      </c>
      <c r="L126" s="141">
        <f t="shared" si="71"/>
        <v>13434579.058722368</v>
      </c>
      <c r="M126" s="141">
        <f t="shared" si="71"/>
        <v>17485907.012256335</v>
      </c>
      <c r="N126" s="141">
        <f t="shared" si="71"/>
        <v>29706392.557348657</v>
      </c>
      <c r="O126" s="150">
        <f>J126-$J$123</f>
        <v>15931482.930725217</v>
      </c>
      <c r="P126" s="150">
        <f t="shared" si="74"/>
        <v>4425.4119252014489</v>
      </c>
      <c r="Q126" s="150">
        <f t="shared" ca="1" si="75"/>
        <v>120107.28513530589</v>
      </c>
      <c r="R126" s="150">
        <f t="shared" ca="1" si="76"/>
        <v>5004.4702139710789</v>
      </c>
      <c r="S126" s="150">
        <f t="shared" ca="1" si="77"/>
        <v>1.3901306149919663</v>
      </c>
      <c r="T126" s="301">
        <f t="shared" si="73"/>
        <v>1.2451045449617948</v>
      </c>
    </row>
    <row r="127" spans="5:20" x14ac:dyDescent="0.25">
      <c r="E127" s="78" t="s">
        <v>243</v>
      </c>
      <c r="F127" s="21">
        <f t="shared" si="69"/>
        <v>5</v>
      </c>
      <c r="G127" s="21">
        <f t="shared" si="69"/>
        <v>6</v>
      </c>
      <c r="H127" s="21">
        <f t="shared" si="69"/>
        <v>4</v>
      </c>
      <c r="I127" s="21" t="str">
        <f t="shared" si="69"/>
        <v>N/A</v>
      </c>
      <c r="J127" s="14">
        <f t="shared" si="70"/>
        <v>88844706.535872534</v>
      </c>
      <c r="K127" s="135">
        <f t="shared" si="71"/>
        <v>40280524.362022392</v>
      </c>
      <c r="L127" s="141">
        <f t="shared" si="71"/>
        <v>17485907.012256335</v>
      </c>
      <c r="M127" s="141">
        <f t="shared" si="71"/>
        <v>31078275.161593806</v>
      </c>
      <c r="N127" s="141">
        <f t="shared" si="71"/>
        <v>0</v>
      </c>
      <c r="O127" s="150">
        <f>J127-$J$123</f>
        <v>23845981.468540534</v>
      </c>
      <c r="P127" s="150">
        <f t="shared" si="74"/>
        <v>6623.8837412612593</v>
      </c>
      <c r="Q127" s="150">
        <f t="shared" ca="1" si="75"/>
        <v>179774.6078018641</v>
      </c>
      <c r="R127" s="150">
        <f t="shared" ca="1" si="76"/>
        <v>7490.6086584110044</v>
      </c>
      <c r="S127" s="150">
        <f t="shared" ca="1" si="77"/>
        <v>2.08072462733639</v>
      </c>
      <c r="T127" s="301">
        <f t="shared" si="73"/>
        <v>1.3668684492478667</v>
      </c>
    </row>
    <row r="128" spans="5:20" x14ac:dyDescent="0.25">
      <c r="E128" s="78" t="s">
        <v>244</v>
      </c>
      <c r="F128" s="21">
        <f t="shared" si="69"/>
        <v>5</v>
      </c>
      <c r="G128" s="21">
        <f t="shared" si="69"/>
        <v>7</v>
      </c>
      <c r="H128" s="21" t="str">
        <f t="shared" si="69"/>
        <v>N/A</v>
      </c>
      <c r="I128" s="21" t="str">
        <f t="shared" si="69"/>
        <v>N/A</v>
      </c>
      <c r="J128" s="14">
        <f t="shared" si="70"/>
        <v>69986916.919371054</v>
      </c>
      <c r="K128" s="135">
        <f t="shared" si="71"/>
        <v>40280524.362022392</v>
      </c>
      <c r="L128" s="141">
        <f t="shared" si="71"/>
        <v>29706392.557348657</v>
      </c>
      <c r="M128" s="141">
        <f t="shared" si="71"/>
        <v>0</v>
      </c>
      <c r="N128" s="141">
        <f t="shared" si="71"/>
        <v>0</v>
      </c>
      <c r="O128" s="150">
        <f>J128-$J$123</f>
        <v>4988191.852039054</v>
      </c>
      <c r="P128" s="150">
        <f t="shared" si="74"/>
        <v>1385.608847788626</v>
      </c>
      <c r="Q128" s="150">
        <f t="shared" ca="1" si="75"/>
        <v>37605.926810931953</v>
      </c>
      <c r="R128" s="150">
        <f t="shared" ca="1" si="76"/>
        <v>1566.9136171221646</v>
      </c>
      <c r="S128" s="150">
        <f t="shared" ca="1" si="77"/>
        <v>0.4352537825339346</v>
      </c>
      <c r="T128" s="301">
        <f t="shared" si="73"/>
        <v>1.0767429183706572</v>
      </c>
    </row>
    <row r="129" spans="5:14" x14ac:dyDescent="0.25">
      <c r="E129" s="151" t="s">
        <v>76</v>
      </c>
      <c r="F129" s="25" t="s">
        <v>64</v>
      </c>
      <c r="N129" s="33"/>
    </row>
    <row r="130" spans="5:14" x14ac:dyDescent="0.25">
      <c r="E130" s="26" t="s">
        <v>79</v>
      </c>
      <c r="F130" s="8" t="s">
        <v>148</v>
      </c>
      <c r="I130" s="18"/>
      <c r="J130" s="38"/>
    </row>
    <row r="138" spans="5:14" x14ac:dyDescent="0.25">
      <c r="J138" s="298"/>
    </row>
    <row r="139" spans="5:14" x14ac:dyDescent="0.25">
      <c r="J139" s="298"/>
    </row>
    <row r="145" spans="5:11" x14ac:dyDescent="0.25">
      <c r="E145" s="2"/>
      <c r="F145" s="125"/>
      <c r="I145" s="124"/>
      <c r="J145" s="124"/>
      <c r="K145" s="124"/>
    </row>
  </sheetData>
  <mergeCells count="17">
    <mergeCell ref="I108:I109"/>
    <mergeCell ref="E121:E122"/>
    <mergeCell ref="F121:F122"/>
    <mergeCell ref="G121:G122"/>
    <mergeCell ref="E83:E84"/>
    <mergeCell ref="H121:H122"/>
    <mergeCell ref="I121:I122"/>
    <mergeCell ref="E108:E109"/>
    <mergeCell ref="F108:F109"/>
    <mergeCell ref="G108:G109"/>
    <mergeCell ref="H108:H109"/>
    <mergeCell ref="E57:E58"/>
    <mergeCell ref="E70:E71"/>
    <mergeCell ref="E31:E32"/>
    <mergeCell ref="E44:E45"/>
    <mergeCell ref="E5:E6"/>
    <mergeCell ref="E18:E19"/>
  </mergeCells>
  <hyperlinks>
    <hyperlink ref="F129" r:id="rId1"/>
  </hyperlinks>
  <pageMargins left="0.7" right="0.7" top="0.75" bottom="0.75" header="0.3" footer="0.3"/>
  <pageSetup scale="61" fitToHeight="0" orientation="landscape" horizontalDpi="1200" verticalDpi="1200"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>
    <pageSetUpPr fitToPage="1"/>
  </sheetPr>
  <dimension ref="A2:W125"/>
  <sheetViews>
    <sheetView zoomScale="85" zoomScaleNormal="85" workbookViewId="0">
      <selection activeCell="V100" sqref="V100"/>
    </sheetView>
  </sheetViews>
  <sheetFormatPr baseColWidth="10" defaultColWidth="11.5703125" defaultRowHeight="15" x14ac:dyDescent="0.25"/>
  <cols>
    <col min="1" max="1" width="11.5703125" style="1"/>
    <col min="2" max="2" width="11.85546875" style="106" customWidth="1"/>
    <col min="3" max="3" width="15.85546875" style="1" customWidth="1"/>
    <col min="4" max="4" width="2.140625" style="1" customWidth="1"/>
    <col min="5" max="8" width="17.28515625" style="1" customWidth="1"/>
    <col min="9" max="11" width="17.28515625" style="124" hidden="1" customWidth="1"/>
    <col min="12" max="12" width="17.28515625" style="1" customWidth="1"/>
    <col min="13" max="16" width="17.28515625" style="109" hidden="1" customWidth="1"/>
    <col min="17" max="21" width="17.28515625" style="1" customWidth="1"/>
    <col min="22" max="22" width="16.28515625" style="1" bestFit="1" customWidth="1"/>
    <col min="23" max="16384" width="11.5703125" style="1"/>
  </cols>
  <sheetData>
    <row r="2" spans="2:23" x14ac:dyDescent="0.25">
      <c r="B2" s="105" t="s">
        <v>33</v>
      </c>
    </row>
    <row r="3" spans="2:23" x14ac:dyDescent="0.25">
      <c r="B3" s="55" t="s">
        <v>306</v>
      </c>
    </row>
    <row r="4" spans="2:23" x14ac:dyDescent="0.25">
      <c r="B4" s="164" t="s">
        <v>167</v>
      </c>
      <c r="E4" s="5"/>
    </row>
    <row r="5" spans="2:23" s="122" customFormat="1" x14ac:dyDescent="0.25">
      <c r="B5" s="164"/>
      <c r="E5" s="5"/>
      <c r="I5" s="124"/>
      <c r="J5" s="124"/>
      <c r="K5" s="124"/>
      <c r="M5" s="109"/>
      <c r="N5" s="109"/>
      <c r="O5" s="109"/>
      <c r="P5" s="109"/>
    </row>
    <row r="6" spans="2:23" x14ac:dyDescent="0.25">
      <c r="E6" s="93" t="s">
        <v>19</v>
      </c>
      <c r="F6" s="82" t="s">
        <v>24</v>
      </c>
      <c r="G6" s="82" t="s">
        <v>20</v>
      </c>
      <c r="H6" s="92" t="s">
        <v>36</v>
      </c>
      <c r="I6" s="353" t="s">
        <v>259</v>
      </c>
      <c r="J6" s="353" t="s">
        <v>260</v>
      </c>
      <c r="K6" s="353" t="s">
        <v>261</v>
      </c>
      <c r="L6" s="92" t="s">
        <v>234</v>
      </c>
      <c r="Q6" s="82" t="s">
        <v>264</v>
      </c>
    </row>
    <row r="7" spans="2:23" x14ac:dyDescent="0.25">
      <c r="E7" s="352" t="s">
        <v>1</v>
      </c>
      <c r="F7" s="93" t="s">
        <v>6</v>
      </c>
      <c r="G7" s="93" t="s">
        <v>7</v>
      </c>
      <c r="H7" s="93" t="s">
        <v>142</v>
      </c>
      <c r="I7" s="354"/>
      <c r="J7" s="354"/>
      <c r="K7" s="354"/>
      <c r="L7" s="93" t="s">
        <v>145</v>
      </c>
      <c r="Q7" s="93" t="s">
        <v>14</v>
      </c>
    </row>
    <row r="8" spans="2:23" ht="45" x14ac:dyDescent="0.25">
      <c r="E8" s="352"/>
      <c r="F8" s="91" t="s">
        <v>5</v>
      </c>
      <c r="G8" s="91" t="s">
        <v>3</v>
      </c>
      <c r="H8" s="91" t="s">
        <v>143</v>
      </c>
      <c r="I8" s="355"/>
      <c r="J8" s="355"/>
      <c r="K8" s="355"/>
      <c r="L8" s="91" t="s">
        <v>144</v>
      </c>
      <c r="Q8" s="91" t="s">
        <v>235</v>
      </c>
    </row>
    <row r="9" spans="2:23" s="95" customFormat="1" x14ac:dyDescent="0.25">
      <c r="B9" s="106"/>
      <c r="C9" s="1"/>
      <c r="E9" s="93" t="str">
        <f>MCI!B42</f>
        <v>A</v>
      </c>
      <c r="F9" s="27">
        <f>MCI!J42</f>
        <v>0.79800000000000004</v>
      </c>
      <c r="G9" s="93">
        <f>F9*$C$16</f>
        <v>4355.8829999999998</v>
      </c>
      <c r="H9" s="21">
        <f>G9*$C$12</f>
        <v>197757.0882</v>
      </c>
      <c r="I9" s="138">
        <f>IF(AND(C14=2,C13="P"),T!$C$66,IF(AND(C14=4,C13="P"),T!$C$67,IF(AND(C14=6,C13="P"),T!$C$68,IF(AND(C14=8,C13="P"),T!$C$69,IF(AND(C14=10,C13="P"),T!$C$70,IF(AND(C14=12,C13="P"),T!$C$71,0))))))</f>
        <v>0</v>
      </c>
      <c r="J9" s="139">
        <f>IF(AND(C14=2,C13="L"),T!$D$66,IF(AND(C14=4,C13="L"),T!$D$67,IF(AND(C14=6,C13="L"),T!$D$68,IF(AND(C14=8,C13="L"),T!$D$69,IF(AND(C14=10,C13="L"),T!$D$70,IF(AND(C14=12,C13="L"),T!$D$71,0))))))</f>
        <v>4.8099999999999996</v>
      </c>
      <c r="K9" s="139">
        <f>IF(AND(C14=2,C13="M"),T!$E$66,IF(AND(C14=4,C13="M"),T!$E$67,IF(AND(C14=6,C13="M"),T!$E$68,IF(AND(C14=8,C13="M"),T!$E$69,IF(AND(C14=10,C13="M"),T!$E$70,IF(AND(C14=12,C13="M"),T!$E$71,0))))))</f>
        <v>0</v>
      </c>
      <c r="L9" s="7">
        <f t="shared" ref="L9:L15" si="0">SUM(I9:K9)</f>
        <v>4.8099999999999996</v>
      </c>
      <c r="M9" s="109"/>
      <c r="N9" s="109"/>
      <c r="O9" s="109"/>
      <c r="P9" s="109"/>
      <c r="Q9" s="45">
        <f t="shared" ref="Q9:Q16" si="1">H9*L9</f>
        <v>951211.5942419999</v>
      </c>
      <c r="V9" s="1"/>
      <c r="W9" s="1"/>
    </row>
    <row r="10" spans="2:23" x14ac:dyDescent="0.25">
      <c r="B10" s="1"/>
      <c r="D10" s="95"/>
      <c r="E10" s="93" t="str">
        <f>MCI!B43</f>
        <v xml:space="preserve"> B</v>
      </c>
      <c r="F10" s="27">
        <f>MCI!J43</f>
        <v>3.4000000000000002E-2</v>
      </c>
      <c r="G10" s="93">
        <f t="shared" ref="G10:G16" si="2">F10*$C$16</f>
        <v>185.58900000000003</v>
      </c>
      <c r="H10" s="21">
        <f t="shared" ref="H10:H16" si="3">G10*$C$12</f>
        <v>8425.740600000001</v>
      </c>
      <c r="I10" s="135">
        <f>IF(AND(C14=2,C13="P"),T!$C$56,IF(AND(C14=4,C13="P"),T!$C$57,IF(AND(C14=6,C13="P"),T!$C$58,IF(AND(C14=8,C13="P"),T!$C$59,IF(AND(C14=10,C13="P"),T!$C$60,IF(AND(C14=12,C13="P"),T!$C$61,0))))))</f>
        <v>0</v>
      </c>
      <c r="J10" s="135">
        <f>IF(AND(C14=2,C13="L"),T!$D$56,IF(AND(C14=4,C13="L"),T!$D$57,IF(AND(C14=6,C13="L"),T!$D$58,IF(AND(C14=8,C13="L"),T!$D$59,IF(AND(C14=10,C13="L"),T!$D$60,IF(AND(C14=12,C13="L"),T!$D$61,0))))))</f>
        <v>17.18</v>
      </c>
      <c r="K10" s="135">
        <f>IF(AND(C14=2,C13="M"),T!$E$56,IF(AND(C14=4,C13="M"),T!$E$57,IF(AND(C14=6,C13="M"),T!$E$58,IF(AND(C14=8,C13="M"),T!$E$59,IF(AND(C14=10,C13="M"),T!$E$60,IF(AND(C14=12,C13="M"),T!$E$61,0))))))</f>
        <v>0</v>
      </c>
      <c r="L10" s="7">
        <f t="shared" si="0"/>
        <v>17.18</v>
      </c>
      <c r="N10" s="110"/>
      <c r="Q10" s="45">
        <f t="shared" si="1"/>
        <v>144754.22350800002</v>
      </c>
    </row>
    <row r="11" spans="2:23" s="95" customFormat="1" x14ac:dyDescent="0.25">
      <c r="B11" s="107" t="str">
        <f>MCI!$B$21</f>
        <v>Tramo</v>
      </c>
      <c r="C11" s="94">
        <f>MCI!C21</f>
        <v>1</v>
      </c>
      <c r="E11" s="93" t="str">
        <f>MCI!B44</f>
        <v>C2</v>
      </c>
      <c r="F11" s="27">
        <f>MCI!J44</f>
        <v>7.0166666666666669E-2</v>
      </c>
      <c r="G11" s="93">
        <f t="shared" si="2"/>
        <v>383.00475</v>
      </c>
      <c r="H11" s="21">
        <f t="shared" si="3"/>
        <v>17388.415649999999</v>
      </c>
      <c r="I11" s="135">
        <f>IF(AND(C14=2,C13="P"),T!$C$46,IF(AND(C14=4,C13="P"),T!$C$47,IF(AND(C14=6,C13="P"),T!$C$48,IF(AND(C14=8,C13="P"),T!$C$49,IF(AND(C14=10,C13="P"),T!$C$50,IF(AND(C14=12,C13="P"),T!$C$51,0))))))</f>
        <v>0</v>
      </c>
      <c r="J11" s="135">
        <f>IF(AND(C14=2,C13="L"),T!$D$46,IF(AND(C14=4,C13="L"),T!$D$47,IF(AND(C14=6,C13="L"),T!$D$48,IF(AND(C14=8,C13="L"),T!$D$49,IF(AND(C14=10,C13="L"),T!$D$50,IF(AND(C14=12,C13="L"),T!$D$51,0))))))</f>
        <v>10.66</v>
      </c>
      <c r="K11" s="135">
        <f>IF(AND(C14=2,C13="M"),T!$E$46,IF(AND(C14=4,C13="M"),T!$E$47,IF(AND(C14=6,C13="M"),T!$E$48,IF(AND(C14=8,C13="M"),T!$E$49,IF(AND(C14=10,C13="M"),T!$E$50,IF(AND(C14=12,C13="M"),T!$E$51,0))))))</f>
        <v>0</v>
      </c>
      <c r="L11" s="7">
        <f t="shared" si="0"/>
        <v>10.66</v>
      </c>
      <c r="M11" s="109"/>
      <c r="N11" s="110"/>
      <c r="O11" s="109"/>
      <c r="P11" s="109"/>
      <c r="Q11" s="45">
        <f t="shared" si="1"/>
        <v>185360.51082900001</v>
      </c>
      <c r="R11" s="1"/>
      <c r="S11" s="1"/>
      <c r="T11" s="1"/>
      <c r="U11" s="1"/>
      <c r="V11" s="1"/>
      <c r="W11" s="1"/>
    </row>
    <row r="12" spans="2:23" ht="14.45" customHeight="1" x14ac:dyDescent="0.25">
      <c r="B12" s="108" t="s">
        <v>263</v>
      </c>
      <c r="C12" s="76">
        <f>MCI!C23/1000</f>
        <v>45.4</v>
      </c>
      <c r="D12" s="95"/>
      <c r="E12" s="93" t="str">
        <f>MCI!B45</f>
        <v>C3</v>
      </c>
      <c r="F12" s="27">
        <f>MCI!J45</f>
        <v>2.0833333333333332E-2</v>
      </c>
      <c r="G12" s="93">
        <f t="shared" si="2"/>
        <v>113.71875</v>
      </c>
      <c r="H12" s="21">
        <f t="shared" si="3"/>
        <v>5162.8312500000002</v>
      </c>
      <c r="I12" s="135">
        <f>IF(AND(C14=2,C13="P"),T!$C$36,IF(AND(C14=4,C13="P"),T!$C$37,IF(AND(C14=6,C13="P"),T!$C$38,IF(AND(C14=8,C13="P"),T!$C$39,IF(AND(C14=10,C13="P"),T!$C$40,IF(AND(C14=12,C13="P"),T!$C$41,0))))))</f>
        <v>0</v>
      </c>
      <c r="J12" s="135">
        <f>IF(AND(C14=2,C13="L"),T!$D$36,IF(AND(C14=4,C13="L"),T!$D$37,IF(AND(C14=6,C13="L"),T!$D$38,IF(AND(C14=8,C13="L"),T!$D$39,IF(AND(C14=10,C13="L"),T!$D$40,IF(AND(C14=12,C13="L"),T!$D$41,0))))))</f>
        <v>15.12</v>
      </c>
      <c r="K12" s="135">
        <f>IF(AND(C14=2,C13="M"),T!$E$36,IF(AND(C14=4,C13="M"),T!$E$37,IF(AND(C14=6,C13="M"),T!$E$38,IF(AND(C14=8,C13="M"),T!$E$39,IF(AND(C14=10,C13="M"),T!$E$40,IF(AND(C14=12,C13="M"),T!$E$41,0))))))</f>
        <v>0</v>
      </c>
      <c r="L12" s="7">
        <f t="shared" si="0"/>
        <v>15.12</v>
      </c>
      <c r="Q12" s="45">
        <f t="shared" si="1"/>
        <v>78062.008499999996</v>
      </c>
    </row>
    <row r="13" spans="2:23" x14ac:dyDescent="0.25">
      <c r="B13" s="108" t="str">
        <f>MCI!$B$24</f>
        <v>Tipo de terreno</v>
      </c>
      <c r="C13" s="94" t="str">
        <f>IF(MCI!C24=LISTA!A2,"P",IF(MCI!C24=LISTA!A3,"L",IF(MCI!C24=LISTA!A4,"M",0)))</f>
        <v>L</v>
      </c>
      <c r="D13" s="95"/>
      <c r="E13" s="93" t="str">
        <f>MCI!B46</f>
        <v>T3S2</v>
      </c>
      <c r="F13" s="27">
        <f>MCI!J46</f>
        <v>4.8333333333333339E-2</v>
      </c>
      <c r="G13" s="93">
        <f t="shared" si="2"/>
        <v>263.82750000000004</v>
      </c>
      <c r="H13" s="21">
        <f t="shared" si="3"/>
        <v>11977.768500000002</v>
      </c>
      <c r="I13" s="135">
        <f>IF(AND(C14=2,C13="P"),T!$C$26,IF(AND(C14=4,C13="P"),T!$C$27,IF(AND(C14=6,C13="P"),T!$C$28,IF(AND(C14=8,C13="P"),T!$C$29,IF(AND(C14=10,C13="P"),T!$C$30,IF(AND(C14=12,C13="P"),T!$C$31,0))))))</f>
        <v>0</v>
      </c>
      <c r="J13" s="135">
        <f>IF(AND(C14=2,C13="L"),T!$D$26,IF(AND(C14=4,C13="L"),T!$D$27,IF(AND(C14=6,C13="L"),T!$D$28,IF(AND(C14=8,C13="L"),T!$D$29,IF(AND(C14=10,C13="L"),T!$D$30,IF(AND(C14=12,C13="L"),T!$D$31,0))))))</f>
        <v>19.96</v>
      </c>
      <c r="K13" s="135">
        <f>IF(AND(C14=2,C13="M"),T!$E$26,IF(AND(C14=4,C13="M"),T!$E$27,IF(AND(C14=6,C13="M"),T!$E$28,IF(AND(C14=8,C13="M"),T!$E$29,IF(AND(C14=10,C13="M"),T!$E$30,IF(AND(C14=12,C13="M"),T!$E$31,0))))))</f>
        <v>0</v>
      </c>
      <c r="L13" s="7">
        <f t="shared" si="0"/>
        <v>19.96</v>
      </c>
      <c r="Q13" s="45">
        <f t="shared" si="1"/>
        <v>239076.25926000005</v>
      </c>
    </row>
    <row r="14" spans="2:23" x14ac:dyDescent="0.25">
      <c r="B14" s="108" t="str">
        <f>MCI!$B$25</f>
        <v>IIR</v>
      </c>
      <c r="C14" s="77">
        <f>IF(MCI!C25=LISTA!D2,2,IF(MCI!C25=LISTA!D3,4,IF(MCI!C25=LISTA!D4,6,IF(MCI!C25=LISTA!D5,8,IF(MCI!C25=LISTA!D6,10,IF(MCI!C25=LISTA!D7,12,0))))))</f>
        <v>4</v>
      </c>
      <c r="D14" s="3"/>
      <c r="E14" s="93" t="str">
        <f>MCI!B47</f>
        <v xml:space="preserve"> T3S3</v>
      </c>
      <c r="F14" s="27">
        <f>MCI!J47</f>
        <v>1.55E-2</v>
      </c>
      <c r="G14" s="93">
        <f t="shared" si="2"/>
        <v>84.606750000000005</v>
      </c>
      <c r="H14" s="21">
        <f t="shared" si="3"/>
        <v>3841.1464500000002</v>
      </c>
      <c r="I14" s="135">
        <f>IF(AND(C14=2,C13="P"),T!$C$16,IF(AND(C14=4,C13="P"),T!$C$17,IF(AND(C14=6,C13="P"),T!$C$18,IF(AND(C14=8,C13="P"),T!$C$19,IF(AND(C14=10,C13="P"),T!$C$20,IF(AND(C14=12,C13="P"),T!$C$21,0))))))</f>
        <v>0</v>
      </c>
      <c r="J14" s="135">
        <f>IF(AND(C14=2,C13="L"),T!$D$16,IF(AND(C14=4,C13="L"),T!$D$17,IF(AND(C14=6,C13="L"),T!$D$18,IF(AND(C14=8,C13="L"),T!$D$19,IF(AND(C14=10,C13="L"),T!$D$20,IF(AND(C14=12,C13="L"),T!$D$21,0))))))</f>
        <v>23.5</v>
      </c>
      <c r="K14" s="135">
        <f>IF(AND(C14=2,C13="M"),T!$E$16,IF(AND(C14=4,C13="M"),T!$E$17,IF(AND(C14=6,C13="M"),T!$E$18,IF(AND(C14=8,C13="M"),T!$E$19,IF(AND(C14=10,C13="M"),T!$E$20,IF(AND(C14=12,C13="M"),T!$E$21,0))))))</f>
        <v>0</v>
      </c>
      <c r="L14" s="7">
        <f t="shared" si="0"/>
        <v>23.5</v>
      </c>
      <c r="Q14" s="45">
        <f t="shared" si="1"/>
        <v>90266.941575000004</v>
      </c>
    </row>
    <row r="15" spans="2:23" x14ac:dyDescent="0.25">
      <c r="B15" s="108" t="str">
        <f>MCI!$B$22</f>
        <v>Descripción</v>
      </c>
      <c r="C15" s="104" t="str">
        <f>MCI!C22</f>
        <v>Toluca - Atlacomulco (57)</v>
      </c>
      <c r="D15" s="3"/>
      <c r="E15" s="93" t="str">
        <f>MCI!B48</f>
        <v xml:space="preserve"> T3S2R4</v>
      </c>
      <c r="F15" s="27">
        <f>MCI!J48</f>
        <v>1.0166666666666666E-2</v>
      </c>
      <c r="G15" s="93">
        <f t="shared" si="2"/>
        <v>55.494749999999996</v>
      </c>
      <c r="H15" s="21">
        <f t="shared" si="3"/>
        <v>2519.4616499999997</v>
      </c>
      <c r="I15" s="135">
        <f>IF(AND(C14=2,C13="P"),T!$C$6,IF(AND(C14=4,C13="P"),T!$C$7,IF(AND(C14=6,C13="P"),T!$C$8,IF(AND(C14=8,C13="P"),T!$C$9,IF(AND(C14=10,C13="P"),T!$C$10,IF(AND(C14=12,C13="P"),T!$C$11,0))))))</f>
        <v>0</v>
      </c>
      <c r="J15" s="135">
        <f>IF(AND(C14=2,C13="L"),T!$D$6,IF(AND(C14=4,C13="L"),T!$D$7,IF(AND(C14=6,C13="L"),T!$D$8,IF(AND(C14=8,C13="L"),T!$D$9,IF(AND(C14=10,C13="L"),T!$D$10,IF(AND(C14=12,C13="L"),T!$D$11,0))))))</f>
        <v>31.16</v>
      </c>
      <c r="K15" s="135">
        <f>IF(AND(C14=2,C13="M"),T!$E$6,IF(AND(C14=4,C13="M"),T!$E$7,IF(AND(C14=6,C13="M"),T!$E$8,IF(AND(C14=8,C13="M"),T!$E$9,IF(AND(C14=10,C13="M"),T!$E$10,IF(AND(C14=12,C13="M"),T!$E$11,0))))))</f>
        <v>0</v>
      </c>
      <c r="L15" s="7">
        <f t="shared" si="0"/>
        <v>31.16</v>
      </c>
      <c r="Q15" s="45">
        <f t="shared" si="1"/>
        <v>78506.425013999993</v>
      </c>
    </row>
    <row r="16" spans="2:23" x14ac:dyDescent="0.25">
      <c r="B16" s="108" t="s">
        <v>262</v>
      </c>
      <c r="C16" s="94">
        <f>MCI!C58</f>
        <v>5458.5</v>
      </c>
      <c r="E16" s="93" t="str">
        <f>MCI!B49</f>
        <v xml:space="preserve"> OTROS</v>
      </c>
      <c r="F16" s="27">
        <f>MCI!J49</f>
        <v>3.0000000000000768E-3</v>
      </c>
      <c r="G16" s="93">
        <f t="shared" si="2"/>
        <v>16.375500000000418</v>
      </c>
      <c r="H16" s="21">
        <f t="shared" si="3"/>
        <v>743.44770000001893</v>
      </c>
      <c r="I16" s="98"/>
      <c r="J16" s="98"/>
      <c r="K16" s="98"/>
      <c r="L16" s="85">
        <f>AVERAGE(L9:L15)</f>
        <v>17.484285714285711</v>
      </c>
      <c r="Q16" s="45">
        <f t="shared" si="1"/>
        <v>12998.6520004289</v>
      </c>
    </row>
    <row r="17" spans="2:17" x14ac:dyDescent="0.25">
      <c r="E17" s="19"/>
      <c r="F17" s="43"/>
      <c r="G17" s="19"/>
      <c r="H17" s="44"/>
      <c r="J17" s="136"/>
      <c r="K17" s="129"/>
      <c r="L17" s="102" t="s">
        <v>17</v>
      </c>
      <c r="Q17" s="103">
        <f>SUM(Q9:Q16)</f>
        <v>1780236.6149284288</v>
      </c>
    </row>
    <row r="19" spans="2:17" x14ac:dyDescent="0.25">
      <c r="E19" s="93" t="s">
        <v>19</v>
      </c>
      <c r="F19" s="82" t="s">
        <v>24</v>
      </c>
      <c r="G19" s="82" t="s">
        <v>20</v>
      </c>
      <c r="H19" s="92" t="s">
        <v>36</v>
      </c>
      <c r="I19" s="353" t="s">
        <v>259</v>
      </c>
      <c r="J19" s="353" t="s">
        <v>260</v>
      </c>
      <c r="K19" s="353" t="s">
        <v>261</v>
      </c>
      <c r="L19" s="92" t="s">
        <v>234</v>
      </c>
      <c r="Q19" s="82" t="s">
        <v>265</v>
      </c>
    </row>
    <row r="20" spans="2:17" x14ac:dyDescent="0.25">
      <c r="E20" s="352" t="s">
        <v>1</v>
      </c>
      <c r="F20" s="93" t="s">
        <v>6</v>
      </c>
      <c r="G20" s="93" t="s">
        <v>7</v>
      </c>
      <c r="H20" s="93" t="s">
        <v>142</v>
      </c>
      <c r="I20" s="354"/>
      <c r="J20" s="354"/>
      <c r="K20" s="354"/>
      <c r="L20" s="93" t="s">
        <v>145</v>
      </c>
      <c r="Q20" s="93" t="s">
        <v>14</v>
      </c>
    </row>
    <row r="21" spans="2:17" ht="45" x14ac:dyDescent="0.25">
      <c r="E21" s="352"/>
      <c r="F21" s="91" t="s">
        <v>5</v>
      </c>
      <c r="G21" s="91" t="s">
        <v>3</v>
      </c>
      <c r="H21" s="91" t="s">
        <v>143</v>
      </c>
      <c r="I21" s="355"/>
      <c r="J21" s="355"/>
      <c r="K21" s="355"/>
      <c r="L21" s="91" t="s">
        <v>144</v>
      </c>
      <c r="Q21" s="91" t="s">
        <v>235</v>
      </c>
    </row>
    <row r="22" spans="2:17" x14ac:dyDescent="0.25">
      <c r="E22" s="93" t="str">
        <f>E9</f>
        <v>A</v>
      </c>
      <c r="F22" s="27">
        <f t="shared" ref="F22:F29" si="4">F9</f>
        <v>0.79800000000000004</v>
      </c>
      <c r="G22" s="93">
        <f>F22*$C$29</f>
        <v>4355.8829999999998</v>
      </c>
      <c r="H22" s="21">
        <f>G22*$C$25</f>
        <v>101492.0739</v>
      </c>
      <c r="I22" s="138">
        <f>IF(AND(C27=2,C26="P"),T!$C$66,IF(AND(C27=4,C26="P"),T!$C$67,IF(AND(C27=6,C26="P"),T!$C$68,IF(AND(C27=8,C26="P"),T!$C$69,IF(AND(C27=10,C26="P"),T!$C$70,IF(AND(C27=12,C26="P"),T!$C$71,0))))))</f>
        <v>0</v>
      </c>
      <c r="J22" s="139">
        <f>IF(AND(C27=2,C26="L"),T!$D$66,IF(AND(C27=4,C26="L"),T!$D$67,IF(AND(C27=6,C26="L"),T!$D$68,IF(AND(C27=8,C26="L"),T!$D$69,IF(AND(C27=10,C26="L"),T!$D$70,IF(AND(C27=12,C26="L"),T!$D$71,0))))))</f>
        <v>0</v>
      </c>
      <c r="K22" s="139">
        <f>IF(AND(C27=2,C26="M"),T!$E$66,IF(AND(C27=4,C26="M"),T!$E$67,IF(AND(C27=6,C26="M"),T!$E$68,IF(AND(C27=8,C26="M"),T!$E$69,IF(AND(C27=10,C26="M"),T!$E$70,IF(AND(C27=12,C26="M"),T!$E$71,0))))))</f>
        <v>5.72</v>
      </c>
      <c r="L22" s="7">
        <f t="shared" ref="L22:L28" si="5">SUM(I22:K22)</f>
        <v>5.72</v>
      </c>
      <c r="Q22" s="45">
        <f t="shared" ref="Q22:Q29" si="6">H22*L22</f>
        <v>580534.66270800005</v>
      </c>
    </row>
    <row r="23" spans="2:17" x14ac:dyDescent="0.25">
      <c r="E23" s="99" t="str">
        <f t="shared" ref="E23:E29" si="7">E10</f>
        <v xml:space="preserve"> B</v>
      </c>
      <c r="F23" s="27">
        <f t="shared" si="4"/>
        <v>3.4000000000000002E-2</v>
      </c>
      <c r="G23" s="93">
        <f t="shared" ref="G23:G28" si="8">F23*$C$29</f>
        <v>185.58900000000003</v>
      </c>
      <c r="H23" s="21">
        <f t="shared" ref="H23:H28" si="9">G23*$C$25</f>
        <v>4324.2237000000005</v>
      </c>
      <c r="I23" s="135">
        <f>IF(AND(C27=2,C26="P"),T!$C$56,IF(AND(C27=4,C26="P"),T!$C$57,IF(AND(C27=6,C26="P"),T!$C$58,IF(AND(C27=8,C26="P"),T!$C$59,IF(AND(C27=10,C26="P"),T!$C$60,IF(AND(C27=12,C26="P"),T!$C$61,0))))))</f>
        <v>0</v>
      </c>
      <c r="J23" s="135">
        <f>IF(AND(C27=2,C26="L"),T!$D$56,IF(AND(C27=4,C26="L"),T!$D$57,IF(AND(C27=6,C26="L"),T!$D$58,IF(AND(C27=8,C26="L"),T!$D$59,IF(AND(C27=10,C26="L"),T!$D$60,IF(AND(C27=12,C26="L"),T!$D$61,0))))))</f>
        <v>0</v>
      </c>
      <c r="K23" s="135">
        <f>IF(AND(C27=2,C26="M"),T!$E$56,IF(AND(C27=4,C26="M"),T!$E$57,IF(AND(C27=6,C26="M"),T!$E$58,IF(AND(C27=8,C26="M"),T!$E$59,IF(AND(C27=10,C26="M"),T!$E$60,IF(AND(C27=12,C26="M"),T!$E$61,0))))))</f>
        <v>21.74</v>
      </c>
      <c r="L23" s="7">
        <f t="shared" si="5"/>
        <v>21.74</v>
      </c>
      <c r="Q23" s="45">
        <f t="shared" si="6"/>
        <v>94008.623238</v>
      </c>
    </row>
    <row r="24" spans="2:17" x14ac:dyDescent="0.25">
      <c r="B24" s="107" t="str">
        <f t="shared" ref="B24:B29" si="10">B11</f>
        <v>Tramo</v>
      </c>
      <c r="C24" s="93">
        <f>MCI!D21</f>
        <v>2</v>
      </c>
      <c r="E24" s="99" t="str">
        <f t="shared" si="7"/>
        <v>C2</v>
      </c>
      <c r="F24" s="27">
        <f t="shared" si="4"/>
        <v>7.0166666666666669E-2</v>
      </c>
      <c r="G24" s="93">
        <f t="shared" si="8"/>
        <v>383.00475</v>
      </c>
      <c r="H24" s="21">
        <f t="shared" si="9"/>
        <v>8924.0106749999995</v>
      </c>
      <c r="I24" s="135">
        <f>IF(AND(C27=2,C26="P"),T!$C$46,IF(AND(C27=4,C26="P"),T!$C$47,IF(AND(C27=6,C26="P"),T!$C$48,IF(AND(C27=8,C26="P"),T!$C$49,IF(AND(C27=10,C26="P"),T!$C$50,IF(AND(C27=12,C26="P"),T!$C$51,0))))))</f>
        <v>0</v>
      </c>
      <c r="J24" s="135">
        <f>IF(AND(C27=2,C26="L"),T!$D$46,IF(AND(C27=4,C26="L"),T!$D$47,IF(AND(C27=6,C26="L"),T!$D$48,IF(AND(C27=8,C26="L"),T!$D$49,IF(AND(C27=10,C26="L"),T!$D$50,IF(AND(C27=12,C26="L"),T!$D$51,0))))))</f>
        <v>0</v>
      </c>
      <c r="K24" s="135">
        <f>IF(AND(C27=2,C26="M"),T!$E$46,IF(AND(C27=4,C26="M"),T!$E$47,IF(AND(C27=6,C26="M"),T!$E$48,IF(AND(C27=8,C26="M"),T!$E$49,IF(AND(C27=10,C26="M"),T!$E$50,IF(AND(C27=12,C26="M"),T!$E$51,0))))))</f>
        <v>14</v>
      </c>
      <c r="L24" s="7">
        <f t="shared" si="5"/>
        <v>14</v>
      </c>
      <c r="Q24" s="45">
        <f t="shared" si="6"/>
        <v>124936.14945</v>
      </c>
    </row>
    <row r="25" spans="2:17" x14ac:dyDescent="0.25">
      <c r="B25" s="107" t="str">
        <f t="shared" si="10"/>
        <v>Longitud (km)</v>
      </c>
      <c r="C25" s="76">
        <f>MCI!D23/1000</f>
        <v>23.3</v>
      </c>
      <c r="E25" s="99" t="str">
        <f t="shared" si="7"/>
        <v>C3</v>
      </c>
      <c r="F25" s="27">
        <f t="shared" si="4"/>
        <v>2.0833333333333332E-2</v>
      </c>
      <c r="G25" s="93">
        <f t="shared" si="8"/>
        <v>113.71875</v>
      </c>
      <c r="H25" s="21">
        <f t="shared" si="9"/>
        <v>2649.6468749999999</v>
      </c>
      <c r="I25" s="135">
        <f>IF(AND(C27=2,C26="P"),T!$C$36,IF(AND(C27=4,C26="P"),T!$C$37,IF(AND(C27=6,C26="P"),T!$C$38,IF(AND(C27=8,C26="P"),T!$C$39,IF(AND(C27=10,C26="P"),T!$C$40,IF(AND(C27=12,C26="P"),T!$C$41,0))))))</f>
        <v>0</v>
      </c>
      <c r="J25" s="135">
        <f>IF(AND(C27=2,C26="L"),T!$D$36,IF(AND(C27=4,C26="L"),T!$D$37,IF(AND(C27=6,C26="L"),T!$D$38,IF(AND(C27=8,C26="L"),T!$D$39,IF(AND(C27=10,C26="L"),T!$D$40,IF(AND(C27=12,C26="L"),T!$D$41,0))))))</f>
        <v>0</v>
      </c>
      <c r="K25" s="135">
        <f>IF(AND(C27=2,C26="M"),T!$E$36,IF(AND(C27=4,C26="M"),T!$E$37,IF(AND(C27=6,C26="M"),T!$E$38,IF(AND(C27=8,C26="M"),T!$E$39,IF(AND(C27=10,C26="M"),T!$E$40,IF(AND(C27=12,C26="M"),T!$E$41,0))))))</f>
        <v>20.04</v>
      </c>
      <c r="L25" s="7">
        <f t="shared" si="5"/>
        <v>20.04</v>
      </c>
      <c r="Q25" s="45">
        <f t="shared" si="6"/>
        <v>53098.923374999998</v>
      </c>
    </row>
    <row r="26" spans="2:17" x14ac:dyDescent="0.25">
      <c r="B26" s="107" t="str">
        <f t="shared" si="10"/>
        <v>Tipo de terreno</v>
      </c>
      <c r="C26" s="94" t="str">
        <f>IF(MCI!D24=LISTA!A2,"P",IF(MCI!D24=LISTA!A3,"L",IF(MCI!D24=LISTA!A4,"M",0)))</f>
        <v>M</v>
      </c>
      <c r="E26" s="99" t="str">
        <f t="shared" si="7"/>
        <v>T3S2</v>
      </c>
      <c r="F26" s="27">
        <f t="shared" si="4"/>
        <v>4.8333333333333339E-2</v>
      </c>
      <c r="G26" s="93">
        <f t="shared" si="8"/>
        <v>263.82750000000004</v>
      </c>
      <c r="H26" s="21">
        <f t="shared" si="9"/>
        <v>6147.1807500000014</v>
      </c>
      <c r="I26" s="135">
        <f>IF(AND(C27=2,C26="P"),T!$C$26,IF(AND(C27=4,C26="P"),T!$C$27,IF(AND(C27=6,C26="P"),T!$C$28,IF(AND(C27=8,C26="P"),T!$C$29,IF(AND(C27=10,C26="P"),T!$C$30,IF(AND(C27=12,C26="P"),T!$C$31,0))))))</f>
        <v>0</v>
      </c>
      <c r="J26" s="135">
        <f>IF(AND(C27=2,C26="L"),T!$D$26,IF(AND(C27=4,C26="L"),T!$D$27,IF(AND(C27=6,C26="L"),T!$D$28,IF(AND(C27=8,C26="L"),T!$D$29,IF(AND(C27=10,C26="L"),T!$D$30,IF(AND(C27=12,C26="L"),T!$D$31,0))))))</f>
        <v>0</v>
      </c>
      <c r="K26" s="135">
        <f>IF(AND(C27=2,C26="M"),T!$E$26,IF(AND(C27=4,C26="M"),T!$E$27,IF(AND(C27=6,C26="M"),T!$E$28,IF(AND(C27=8,C26="M"),T!$E$29,IF(AND(C27=10,C26="M"),T!$E$30,IF(AND(C27=12,C26="M"),T!$E$31,0))))))</f>
        <v>25.93</v>
      </c>
      <c r="L26" s="7">
        <f t="shared" si="5"/>
        <v>25.93</v>
      </c>
      <c r="Q26" s="45">
        <f t="shared" si="6"/>
        <v>159396.39684750003</v>
      </c>
    </row>
    <row r="27" spans="2:17" x14ac:dyDescent="0.25">
      <c r="B27" s="107" t="str">
        <f t="shared" si="10"/>
        <v>IIR</v>
      </c>
      <c r="C27" s="77">
        <f>MCI!D25</f>
        <v>6</v>
      </c>
      <c r="E27" s="99" t="str">
        <f t="shared" si="7"/>
        <v xml:space="preserve"> T3S3</v>
      </c>
      <c r="F27" s="27">
        <f t="shared" si="4"/>
        <v>1.55E-2</v>
      </c>
      <c r="G27" s="93">
        <f t="shared" si="8"/>
        <v>84.606750000000005</v>
      </c>
      <c r="H27" s="21">
        <f t="shared" si="9"/>
        <v>1971.3372750000001</v>
      </c>
      <c r="I27" s="135">
        <f>IF(AND(C27=2,C26="P"),T!$C$16,IF(AND(C27=4,C26="P"),T!$C$17,IF(AND(C27=6,C26="P"),T!$C$18,IF(AND(C27=8,C26="P"),T!$C$19,IF(AND(C27=10,C26="P"),T!$C$20,IF(AND(C27=12,C26="P"),T!$C$21,0))))))</f>
        <v>0</v>
      </c>
      <c r="J27" s="135">
        <f>IF(AND(C27=2,C26="L"),T!$D$16,IF(AND(C27=4,C26="L"),T!$D$17,IF(AND(C27=6,C26="L"),T!$D$18,IF(AND(C27=8,C26="L"),T!$D$19,IF(AND(C27=10,C26="L"),T!$D$20,IF(AND(C27=12,C26="L"),T!$D$21,0))))))</f>
        <v>0</v>
      </c>
      <c r="K27" s="135">
        <f>IF(AND(C27=2,C26="M"),T!$E$16,IF(AND(C27=4,C26="M"),T!$E$17,IF(AND(C27=6,C26="M"),T!$E$18,IF(AND(C27=8,C26="M"),T!$E$19,IF(AND(C27=10,C26="M"),T!$E$20,IF(AND(C27=12,C26="M"),T!$E$21,0))))))</f>
        <v>30.91</v>
      </c>
      <c r="L27" s="7">
        <f t="shared" si="5"/>
        <v>30.91</v>
      </c>
      <c r="Q27" s="45">
        <f t="shared" si="6"/>
        <v>60934.035170250005</v>
      </c>
    </row>
    <row r="28" spans="2:17" x14ac:dyDescent="0.25">
      <c r="B28" s="107" t="str">
        <f t="shared" si="10"/>
        <v>Descripción</v>
      </c>
      <c r="C28" s="104" t="str">
        <f>MCI!I22</f>
        <v>Jilotepec - Palmillas (57D)</v>
      </c>
      <c r="E28" s="99" t="str">
        <f t="shared" si="7"/>
        <v xml:space="preserve"> T3S2R4</v>
      </c>
      <c r="F28" s="27">
        <f t="shared" si="4"/>
        <v>1.0166666666666666E-2</v>
      </c>
      <c r="G28" s="93">
        <f t="shared" si="8"/>
        <v>55.494749999999996</v>
      </c>
      <c r="H28" s="21">
        <f t="shared" si="9"/>
        <v>1293.027675</v>
      </c>
      <c r="I28" s="135">
        <f>IF(AND(C27=2,C26="P"),T!$C$6,IF(AND(C27=4,C26="P"),T!$C$7,IF(AND(C27=6,C26="P"),T!$C$8,IF(AND(C27=8,C26="P"),T!$C$9,IF(AND(C27=10,C26="P"),T!$C$10,IF(AND(C27=12,C26="P"),T!$C$11,0))))))</f>
        <v>0</v>
      </c>
      <c r="J28" s="135">
        <f>IF(AND(C27=2,C26="L"),T!$D$6,IF(AND(C27=4,C26="L"),T!$D$7,IF(AND(C27=6,C26="L"),T!$D$8,IF(AND(C27=8,C26="L"),T!$D$9,IF(AND(C27=10,C26="L"),T!$D$10,IF(AND(C27=12,C26="L"),T!$D$11,0))))))</f>
        <v>0</v>
      </c>
      <c r="K28" s="135">
        <f>IF(AND(C27=2,C26="M"),T!$E$6,IF(AND(C27=4,C26="M"),T!$E$7,IF(AND(C27=6,C26="M"),T!$E$8,IF(AND(C27=8,C26="M"),T!$E$9,IF(AND(C27=10,C26="M"),T!$E$10,IF(AND(C27=12,C26="M"),T!$E$11,0))))))</f>
        <v>41.4</v>
      </c>
      <c r="L28" s="7">
        <f t="shared" si="5"/>
        <v>41.4</v>
      </c>
      <c r="Q28" s="45">
        <f t="shared" si="6"/>
        <v>53531.345744999999</v>
      </c>
    </row>
    <row r="29" spans="2:17" x14ac:dyDescent="0.25">
      <c r="B29" s="107" t="str">
        <f t="shared" si="10"/>
        <v>TDPARP (vpd)</v>
      </c>
      <c r="C29" s="94">
        <f>C16</f>
        <v>5458.5</v>
      </c>
      <c r="E29" s="99" t="str">
        <f t="shared" si="7"/>
        <v xml:space="preserve"> OTROS</v>
      </c>
      <c r="F29" s="27">
        <f t="shared" si="4"/>
        <v>3.0000000000000768E-3</v>
      </c>
      <c r="G29" s="93">
        <f>F29*$C$29</f>
        <v>16.375500000000418</v>
      </c>
      <c r="H29" s="21">
        <f>G29*$C$25</f>
        <v>381.54915000000977</v>
      </c>
      <c r="I29" s="98"/>
      <c r="J29" s="98"/>
      <c r="K29" s="98"/>
      <c r="L29" s="85">
        <f>AVERAGE(L22:L28)</f>
        <v>22.819999999999997</v>
      </c>
      <c r="Q29" s="45">
        <f t="shared" si="6"/>
        <v>8706.9516030002214</v>
      </c>
    </row>
    <row r="30" spans="2:17" x14ac:dyDescent="0.25">
      <c r="E30" s="19"/>
      <c r="F30" s="43"/>
      <c r="G30" s="19"/>
      <c r="H30" s="44"/>
      <c r="J30" s="136"/>
      <c r="K30" s="129"/>
      <c r="L30" s="102" t="s">
        <v>17</v>
      </c>
      <c r="Q30" s="103">
        <f>SUM(Q22:Q29)</f>
        <v>1135147.0881367505</v>
      </c>
    </row>
    <row r="32" spans="2:17" x14ac:dyDescent="0.25">
      <c r="C32" s="95"/>
      <c r="E32" s="93" t="s">
        <v>19</v>
      </c>
      <c r="F32" s="82" t="s">
        <v>24</v>
      </c>
      <c r="G32" s="82" t="s">
        <v>20</v>
      </c>
      <c r="H32" s="92" t="s">
        <v>36</v>
      </c>
      <c r="I32" s="353" t="s">
        <v>259</v>
      </c>
      <c r="J32" s="353" t="s">
        <v>260</v>
      </c>
      <c r="K32" s="353" t="s">
        <v>261</v>
      </c>
      <c r="L32" s="92" t="s">
        <v>234</v>
      </c>
      <c r="Q32" s="82" t="s">
        <v>266</v>
      </c>
    </row>
    <row r="33" spans="1:17" x14ac:dyDescent="0.25">
      <c r="C33" s="95"/>
      <c r="E33" s="352" t="s">
        <v>1</v>
      </c>
      <c r="F33" s="93" t="s">
        <v>6</v>
      </c>
      <c r="G33" s="93" t="s">
        <v>7</v>
      </c>
      <c r="H33" s="93" t="s">
        <v>142</v>
      </c>
      <c r="I33" s="354"/>
      <c r="J33" s="354"/>
      <c r="K33" s="354"/>
      <c r="L33" s="93" t="s">
        <v>145</v>
      </c>
      <c r="Q33" s="93" t="s">
        <v>14</v>
      </c>
    </row>
    <row r="34" spans="1:17" ht="45" x14ac:dyDescent="0.25">
      <c r="C34" s="95"/>
      <c r="E34" s="352"/>
      <c r="F34" s="91" t="s">
        <v>5</v>
      </c>
      <c r="G34" s="91" t="s">
        <v>3</v>
      </c>
      <c r="H34" s="91" t="s">
        <v>143</v>
      </c>
      <c r="I34" s="355"/>
      <c r="J34" s="355"/>
      <c r="K34" s="355"/>
      <c r="L34" s="91" t="s">
        <v>144</v>
      </c>
      <c r="Q34" s="91" t="s">
        <v>235</v>
      </c>
    </row>
    <row r="35" spans="1:17" x14ac:dyDescent="0.25">
      <c r="C35" s="95"/>
      <c r="D35" s="95"/>
      <c r="E35" s="99" t="str">
        <f>E22</f>
        <v>A</v>
      </c>
      <c r="F35" s="27">
        <f t="shared" ref="F35:F42" si="11">F22</f>
        <v>0.79800000000000004</v>
      </c>
      <c r="G35" s="93">
        <f>F35*$C$42</f>
        <v>4355.8829999999998</v>
      </c>
      <c r="H35" s="21">
        <f>G35*$C$38</f>
        <v>101492.0739</v>
      </c>
      <c r="I35" s="138">
        <f>IF(AND(C40=2,C39="P"),T!$C$66,IF(AND(C40=4,C39="P"),T!$C$67,IF(AND(C40=6,C39="P"),T!$C$68,IF(AND(C40=8,C39="P"),T!$C$69,IF(AND(C40=10,C39="P"),T!$C$70,IF(AND(C40=12,C39="P"),T!$C$71,0))))))</f>
        <v>0</v>
      </c>
      <c r="J35" s="139">
        <f>IF(AND(C40=2,C39="L"),T!$D$66,IF(AND(C40=4,C39="L"),T!$D$67,IF(AND(C40=6,C39="L"),T!$D$68,IF(AND(C40=8,C39="L"),T!$D$69,IF(AND(C40=10,C39="L"),T!$D$70,IF(AND(C40=12,C39="L"),T!$D$71,0))))))</f>
        <v>0</v>
      </c>
      <c r="K35" s="139">
        <f>IF(AND(C40=2,C39="M"),T!$E$66,IF(AND(C40=4,C39="M"),T!$E$67,IF(AND(C40=6,C39="M"),T!$E$68,IF(AND(C40=8,C39="M"),T!$E$69,IF(AND(C40=10,C39="M"),T!$E$70,IF(AND(C40=12,C39="M"),T!$E$71,0))))))</f>
        <v>5.42</v>
      </c>
      <c r="L35" s="7">
        <f t="shared" ref="L35:L41" si="12">SUM(I35:K35)</f>
        <v>5.42</v>
      </c>
      <c r="Q35" s="45">
        <f t="shared" ref="Q35:Q42" si="13">H35*L35</f>
        <v>550087.04053800006</v>
      </c>
    </row>
    <row r="36" spans="1:17" x14ac:dyDescent="0.25">
      <c r="C36" s="95"/>
      <c r="E36" s="99" t="str">
        <f t="shared" ref="E36:E42" si="14">E23</f>
        <v xml:space="preserve"> B</v>
      </c>
      <c r="F36" s="27">
        <f t="shared" si="11"/>
        <v>3.4000000000000002E-2</v>
      </c>
      <c r="G36" s="93">
        <f t="shared" ref="G36:G42" si="15">F36*$C$42</f>
        <v>185.58900000000003</v>
      </c>
      <c r="H36" s="21">
        <f t="shared" ref="H36:H42" si="16">G36*$C$38</f>
        <v>4324.2237000000005</v>
      </c>
      <c r="I36" s="135">
        <f>IF(AND(C40=2,C39="P"),T!$C$56,IF(AND(C40=4,C39="P"),T!$C$57,IF(AND(C40=6,C39="P"),T!$C$58,IF(AND(C40=8,C39="P"),T!$C$59,IF(AND(C40=10,C39="P"),T!$C$60,IF(AND(C40=12,C39="P"),T!$C$61,0))))))</f>
        <v>0</v>
      </c>
      <c r="J36" s="135">
        <f>IF(AND(C40=2,C39="L"),T!$D$56,IF(AND(C40=4,C39="L"),T!$D$57,IF(AND(C40=6,C39="L"),T!$D$58,IF(AND(C40=8,C39="L"),T!$D$59,IF(AND(C40=10,C39="L"),T!$D$60,IF(AND(C40=12,C39="L"),T!$D$61,0))))))</f>
        <v>0</v>
      </c>
      <c r="K36" s="135">
        <f>IF(AND(C40=2,C39="M"),T!$E$56,IF(AND(C40=4,C39="M"),T!$E$57,IF(AND(C40=6,C39="M"),T!$E$58,IF(AND(C40=8,C39="M"),T!$E$59,IF(AND(C40=10,C39="M"),T!$E$60,IF(AND(C40=12,C39="M"),T!$E$61,0))))))</f>
        <v>21.01</v>
      </c>
      <c r="L36" s="7">
        <f t="shared" si="12"/>
        <v>21.01</v>
      </c>
      <c r="Q36" s="45">
        <f t="shared" si="13"/>
        <v>90851.939937000017</v>
      </c>
    </row>
    <row r="37" spans="1:17" x14ac:dyDescent="0.25">
      <c r="B37" s="107" t="str">
        <f t="shared" ref="B37:B42" si="17">B24</f>
        <v>Tramo</v>
      </c>
      <c r="C37" s="93">
        <f>MCI!E21</f>
        <v>3</v>
      </c>
      <c r="D37" s="95"/>
      <c r="E37" s="99" t="str">
        <f t="shared" si="14"/>
        <v>C2</v>
      </c>
      <c r="F37" s="27">
        <f t="shared" si="11"/>
        <v>7.0166666666666669E-2</v>
      </c>
      <c r="G37" s="93">
        <f t="shared" si="15"/>
        <v>383.00475</v>
      </c>
      <c r="H37" s="21">
        <f t="shared" si="16"/>
        <v>8924.0106749999995</v>
      </c>
      <c r="I37" s="135">
        <f>IF(AND(C40=2,C39="P"),T!$C$46,IF(AND(C40=4,C39="P"),T!$C$47,IF(AND(C40=6,C39="P"),T!$C$48,IF(AND(C40=8,C39="P"),T!$C$49,IF(AND(C40=10,C39="P"),T!$C$50,IF(AND(C40=12,C39="P"),T!$C$51,0))))))</f>
        <v>0</v>
      </c>
      <c r="J37" s="135">
        <f>IF(AND(C40=2,C39="L"),T!$D$46,IF(AND(C40=4,C39="L"),T!$D$47,IF(AND(C40=6,C39="L"),T!$D$48,IF(AND(C40=8,C39="L"),T!$D$49,IF(AND(C40=10,C39="L"),T!$D$50,IF(AND(C40=12,C39="L"),T!$D$51,0))))))</f>
        <v>0</v>
      </c>
      <c r="K37" s="135">
        <f>IF(AND(C40=2,C39="M"),T!$E$46,IF(AND(C40=4,C39="M"),T!$E$47,IF(AND(C40=6,C39="M"),T!$E$48,IF(AND(C40=8,C39="M"),T!$E$49,IF(AND(C40=10,C39="M"),T!$E$50,IF(AND(C40=12,C39="M"),T!$E$51,0))))))</f>
        <v>13.08</v>
      </c>
      <c r="L37" s="7">
        <f t="shared" si="12"/>
        <v>13.08</v>
      </c>
      <c r="Q37" s="45">
        <f t="shared" si="13"/>
        <v>116726.059629</v>
      </c>
    </row>
    <row r="38" spans="1:17" x14ac:dyDescent="0.25">
      <c r="B38" s="107" t="str">
        <f t="shared" si="17"/>
        <v>Longitud (km)</v>
      </c>
      <c r="C38" s="76">
        <f>MCI!E23/1000</f>
        <v>23.3</v>
      </c>
      <c r="E38" s="99" t="str">
        <f t="shared" si="14"/>
        <v>C3</v>
      </c>
      <c r="F38" s="27">
        <f t="shared" si="11"/>
        <v>2.0833333333333332E-2</v>
      </c>
      <c r="G38" s="93">
        <f t="shared" si="15"/>
        <v>113.71875</v>
      </c>
      <c r="H38" s="21">
        <f t="shared" si="16"/>
        <v>2649.6468749999999</v>
      </c>
      <c r="I38" s="135">
        <f>IF(AND(C40=2,C39="P"),T!$C$36,IF(AND(C40=4,C39="P"),T!$C$37,IF(AND(C40=6,C39="P"),T!$C$38,IF(AND(C40=8,C39="P"),T!$C$39,IF(AND(C40=10,C39="P"),T!$C$40,IF(AND(C40=12,C39="P"),T!$C$41,0))))))</f>
        <v>0</v>
      </c>
      <c r="J38" s="135">
        <f>IF(AND(C40=2,C39="L"),T!$D$36,IF(AND(C40=4,C39="L"),T!$D$37,IF(AND(C40=6,C39="L"),T!$D$38,IF(AND(C40=8,C39="L"),T!$D$39,IF(AND(C40=10,C39="L"),T!$D$40,IF(AND(C40=12,C39="L"),T!$D$41,0))))))</f>
        <v>0</v>
      </c>
      <c r="K38" s="135">
        <f>IF(AND(C40=2,C39="M"),T!$E$36,IF(AND(C40=4,C39="M"),T!$E$37,IF(AND(C40=6,C39="M"),T!$E$38,IF(AND(C40=8,C39="M"),T!$E$39,IF(AND(C40=10,C39="M"),T!$E$40,IF(AND(C40=12,C39="M"),T!$E$41,0))))))</f>
        <v>19.09</v>
      </c>
      <c r="L38" s="7">
        <f t="shared" si="12"/>
        <v>19.09</v>
      </c>
      <c r="Q38" s="45">
        <f t="shared" si="13"/>
        <v>50581.758843749994</v>
      </c>
    </row>
    <row r="39" spans="1:17" x14ac:dyDescent="0.25">
      <c r="B39" s="107" t="str">
        <f t="shared" si="17"/>
        <v>Tipo de terreno</v>
      </c>
      <c r="C39" s="94" t="str">
        <f>IF(MCI!E24=LISTA!A2,"P",IF(MCI!E24=LISTA!A3,"L",IF(MCI!E24=LISTA!A4,"M",0)))</f>
        <v>M</v>
      </c>
      <c r="E39" s="99" t="str">
        <f t="shared" si="14"/>
        <v>T3S2</v>
      </c>
      <c r="F39" s="27">
        <f t="shared" si="11"/>
        <v>4.8333333333333339E-2</v>
      </c>
      <c r="G39" s="93">
        <f t="shared" si="15"/>
        <v>263.82750000000004</v>
      </c>
      <c r="H39" s="21">
        <f t="shared" si="16"/>
        <v>6147.1807500000014</v>
      </c>
      <c r="I39" s="135">
        <f>IF(AND(C40=2,C39="P"),T!$C$26,IF(AND(C40=4,C39="P"),T!$C$27,IF(AND(C40=6,C39="P"),T!$C$28,IF(AND(C40=8,C39="P"),T!$C$29,IF(AND(C40=10,C39="P"),T!$C$30,IF(AND(C40=12,C39="P"),T!$C$31,0))))))</f>
        <v>0</v>
      </c>
      <c r="J39" s="135">
        <f>IF(AND(C40=2,C39="L"),T!$D$26,IF(AND(C40=4,C39="L"),T!$D$27,IF(AND(C40=6,C39="L"),T!$D$28,IF(AND(C40=8,C39="L"),T!$D$29,IF(AND(C40=10,C39="L"),T!$D$30,IF(AND(C40=12,C39="L"),T!$D$31,0))))))</f>
        <v>0</v>
      </c>
      <c r="K39" s="135">
        <f>IF(AND(C40=2,C39="M"),T!$E$26,IF(AND(C40=4,C39="M"),T!$E$27,IF(AND(C40=6,C39="M"),T!$E$28,IF(AND(C40=8,C39="M"),T!$E$29,IF(AND(C40=10,C39="M"),T!$E$30,IF(AND(C40=12,C39="M"),T!$E$31,0))))))</f>
        <v>24.59</v>
      </c>
      <c r="L39" s="7">
        <f t="shared" si="12"/>
        <v>24.59</v>
      </c>
      <c r="Q39" s="45">
        <f t="shared" si="13"/>
        <v>151159.17464250003</v>
      </c>
    </row>
    <row r="40" spans="1:17" x14ac:dyDescent="0.25">
      <c r="B40" s="107" t="str">
        <f t="shared" si="17"/>
        <v>IIR</v>
      </c>
      <c r="C40" s="77">
        <f>MCI!E25</f>
        <v>4</v>
      </c>
      <c r="E40" s="99" t="str">
        <f t="shared" si="14"/>
        <v xml:space="preserve"> T3S3</v>
      </c>
      <c r="F40" s="27">
        <f t="shared" si="11"/>
        <v>1.55E-2</v>
      </c>
      <c r="G40" s="93">
        <f t="shared" si="15"/>
        <v>84.606750000000005</v>
      </c>
      <c r="H40" s="21">
        <f t="shared" si="16"/>
        <v>1971.3372750000001</v>
      </c>
      <c r="I40" s="135">
        <f>IF(AND(C40=2,C39="P"),T!$C$16,IF(AND(C40=4,C39="P"),T!$C$17,IF(AND(C40=6,C39="P"),T!$C$18,IF(AND(C40=8,C39="P"),T!$C$19,IF(AND(C40=10,C39="P"),T!$C$20,IF(AND(C40=12,C39="P"),T!$C$21,0))))))</f>
        <v>0</v>
      </c>
      <c r="J40" s="135">
        <f>IF(AND(C40=2,C39="L"),T!$D$16,IF(AND(C40=4,C39="L"),T!$D$17,IF(AND(C40=6,C39="L"),T!$D$18,IF(AND(C40=8,C39="L"),T!$D$19,IF(AND(C40=10,C39="L"),T!$D$20,IF(AND(C40=12,C39="L"),T!$D$21,0))))))</f>
        <v>0</v>
      </c>
      <c r="K40" s="135">
        <f>IF(AND(C40=2,C39="M"),T!$E$16,IF(AND(C40=4,C39="M"),T!$E$17,IF(AND(C40=6,C39="M"),T!$E$18,IF(AND(C40=8,C39="M"),T!$E$19,IF(AND(C40=10,C39="M"),T!$E$20,IF(AND(C40=12,C39="M"),T!$E$21,0))))))</f>
        <v>29.46</v>
      </c>
      <c r="L40" s="7">
        <f t="shared" si="12"/>
        <v>29.46</v>
      </c>
      <c r="Q40" s="45">
        <f t="shared" si="13"/>
        <v>58075.596121500006</v>
      </c>
    </row>
    <row r="41" spans="1:17" x14ac:dyDescent="0.25">
      <c r="B41" s="107" t="str">
        <f t="shared" si="17"/>
        <v>Descripción</v>
      </c>
      <c r="C41" s="104" t="str">
        <f>MCI!E22</f>
        <v>Atlacomulco - Acambay (40D)</v>
      </c>
      <c r="E41" s="99" t="str">
        <f t="shared" si="14"/>
        <v xml:space="preserve"> T3S2R4</v>
      </c>
      <c r="F41" s="27">
        <f t="shared" si="11"/>
        <v>1.0166666666666666E-2</v>
      </c>
      <c r="G41" s="93">
        <f t="shared" si="15"/>
        <v>55.494749999999996</v>
      </c>
      <c r="H41" s="21">
        <f t="shared" si="16"/>
        <v>1293.027675</v>
      </c>
      <c r="I41" s="135">
        <f>IF(AND(C40=2,C39="P"),T!$C$6,IF(AND(C40=4,C39="P"),T!$C$7,IF(AND(C40=6,C39="P"),T!$C$8,IF(AND(C40=8,C39="P"),T!$C$9,IF(AND(C40=10,C39="P"),T!$C$10,IF(AND(C40=12,C39="P"),T!$C$11,0))))))</f>
        <v>0</v>
      </c>
      <c r="J41" s="135">
        <f>IF(AND(C40=2,C39="L"),T!$D$6,IF(AND(C40=4,C39="L"),T!$D$7,IF(AND(C40=6,C39="L"),T!$D$8,IF(AND(C40=8,C39="L"),T!$D$9,IF(AND(C40=10,C39="L"),T!$D$10,IF(AND(C40=12,C39="L"),T!$D$11,0))))))</f>
        <v>0</v>
      </c>
      <c r="K41" s="135">
        <f>IF(AND(C40=2,C39="M"),T!$E$6,IF(AND(C40=4,C39="M"),T!$E$7,IF(AND(C40=6,C39="M"),T!$E$8,IF(AND(C40=8,C39="M"),T!$E$9,IF(AND(C40=10,C39="M"),T!$E$10,IF(AND(C40=12,C39="M"),T!$E$11,0))))))</f>
        <v>39.64</v>
      </c>
      <c r="L41" s="7">
        <f t="shared" si="12"/>
        <v>39.64</v>
      </c>
      <c r="Q41" s="45">
        <f t="shared" si="13"/>
        <v>51255.617037000004</v>
      </c>
    </row>
    <row r="42" spans="1:17" x14ac:dyDescent="0.25">
      <c r="B42" s="107" t="str">
        <f t="shared" si="17"/>
        <v>TDPARP (vpd)</v>
      </c>
      <c r="C42" s="94">
        <f>C29</f>
        <v>5458.5</v>
      </c>
      <c r="E42" s="99" t="str">
        <f t="shared" si="14"/>
        <v xml:space="preserve"> OTROS</v>
      </c>
      <c r="F42" s="27">
        <f t="shared" si="11"/>
        <v>3.0000000000000768E-3</v>
      </c>
      <c r="G42" s="93">
        <f t="shared" si="15"/>
        <v>16.375500000000418</v>
      </c>
      <c r="H42" s="21">
        <f t="shared" si="16"/>
        <v>381.54915000000977</v>
      </c>
      <c r="I42" s="98"/>
      <c r="J42" s="98"/>
      <c r="K42" s="98"/>
      <c r="L42" s="85">
        <f>AVERAGE(L35:L41)</f>
        <v>21.755714285714287</v>
      </c>
      <c r="Q42" s="45">
        <f t="shared" si="13"/>
        <v>8300.8742933573558</v>
      </c>
    </row>
    <row r="43" spans="1:17" x14ac:dyDescent="0.25">
      <c r="E43" s="19"/>
      <c r="F43" s="43"/>
      <c r="G43" s="19"/>
      <c r="H43" s="44"/>
      <c r="J43" s="136"/>
      <c r="K43" s="129"/>
      <c r="L43" s="102" t="s">
        <v>17</v>
      </c>
      <c r="Q43" s="103">
        <f>SUM(Q35:Q42)</f>
        <v>1077038.0610421074</v>
      </c>
    </row>
    <row r="45" spans="1:17" x14ac:dyDescent="0.25">
      <c r="A45" s="95"/>
      <c r="C45" s="95"/>
      <c r="D45" s="95"/>
      <c r="E45" s="93" t="s">
        <v>19</v>
      </c>
      <c r="F45" s="82" t="s">
        <v>24</v>
      </c>
      <c r="G45" s="82" t="s">
        <v>20</v>
      </c>
      <c r="H45" s="92" t="s">
        <v>36</v>
      </c>
      <c r="I45" s="353" t="s">
        <v>259</v>
      </c>
      <c r="J45" s="353" t="s">
        <v>260</v>
      </c>
      <c r="K45" s="353" t="s">
        <v>261</v>
      </c>
      <c r="L45" s="92" t="s">
        <v>234</v>
      </c>
      <c r="Q45" s="82" t="s">
        <v>267</v>
      </c>
    </row>
    <row r="46" spans="1:17" x14ac:dyDescent="0.25">
      <c r="A46" s="95"/>
      <c r="C46" s="95"/>
      <c r="D46" s="95"/>
      <c r="E46" s="352" t="s">
        <v>1</v>
      </c>
      <c r="F46" s="93" t="s">
        <v>6</v>
      </c>
      <c r="G46" s="93" t="s">
        <v>7</v>
      </c>
      <c r="H46" s="93" t="s">
        <v>142</v>
      </c>
      <c r="I46" s="354"/>
      <c r="J46" s="354"/>
      <c r="K46" s="354"/>
      <c r="L46" s="93" t="s">
        <v>145</v>
      </c>
      <c r="Q46" s="93" t="s">
        <v>14</v>
      </c>
    </row>
    <row r="47" spans="1:17" ht="45" x14ac:dyDescent="0.25">
      <c r="A47" s="95"/>
      <c r="C47" s="95"/>
      <c r="D47" s="95"/>
      <c r="E47" s="352"/>
      <c r="F47" s="91" t="s">
        <v>5</v>
      </c>
      <c r="G47" s="91" t="s">
        <v>3</v>
      </c>
      <c r="H47" s="91" t="s">
        <v>143</v>
      </c>
      <c r="I47" s="355"/>
      <c r="J47" s="355"/>
      <c r="K47" s="355"/>
      <c r="L47" s="91" t="s">
        <v>144</v>
      </c>
      <c r="Q47" s="91" t="s">
        <v>235</v>
      </c>
    </row>
    <row r="48" spans="1:17" x14ac:dyDescent="0.25">
      <c r="A48" s="95"/>
      <c r="C48" s="95"/>
      <c r="D48" s="95"/>
      <c r="E48" s="99" t="str">
        <f>E35</f>
        <v>A</v>
      </c>
      <c r="F48" s="27">
        <f t="shared" ref="F48:F55" si="18">F35</f>
        <v>0.79800000000000004</v>
      </c>
      <c r="G48" s="93">
        <f>F48*$C$55</f>
        <v>4355.8829999999998</v>
      </c>
      <c r="H48" s="21">
        <f>G48*$C$51</f>
        <v>234782.0937</v>
      </c>
      <c r="I48" s="138">
        <f>IF(AND(C53=2,C52="P"),T!$C$66,IF(AND(C53=4,C52="P"),T!$C$67,IF(AND(C53=6,C52="P"),T!$C$68,IF(AND(C53=8,C52="P"),T!$C$69,IF(AND(C53=10,C52="P"),T!$C$70,IF(AND(C53=12,C52="P"),T!$C$71,0))))))</f>
        <v>0</v>
      </c>
      <c r="J48" s="139">
        <f>IF(AND(C53=2,C52="L"),T!$D$66,IF(AND(C53=4,C52="L"),T!$D$67,IF(AND(C53=6,C52="L"),T!$D$68,IF(AND(C53=8,C52="L"),T!$D$69,IF(AND(C53=10,C52="L"),T!$D$70,IF(AND(C53=12,C52="L"),T!$D$71,0))))))</f>
        <v>0</v>
      </c>
      <c r="K48" s="139">
        <f>IF(AND(C53=2,C52="M"),T!$E$66,IF(AND(C53=4,C52="M"),T!$E$67,IF(AND(C53=6,C52="M"),T!$E$68,IF(AND(C53=8,C52="M"),T!$E$69,IF(AND(C53=10,C52="M"),T!$E$70,IF(AND(C53=12,C52="M"),T!$E$71,0))))))</f>
        <v>5.42</v>
      </c>
      <c r="L48" s="7">
        <f t="shared" ref="L48:L54" si="19">SUM(I48:K48)</f>
        <v>5.42</v>
      </c>
      <c r="Q48" s="45">
        <f t="shared" ref="Q48:Q55" si="20">H48*L48</f>
        <v>1272518.9478539999</v>
      </c>
    </row>
    <row r="49" spans="1:17" x14ac:dyDescent="0.25">
      <c r="A49" s="95"/>
      <c r="C49" s="95"/>
      <c r="D49" s="95"/>
      <c r="E49" s="99" t="str">
        <f t="shared" ref="E49:E55" si="21">E36</f>
        <v xml:space="preserve"> B</v>
      </c>
      <c r="F49" s="27">
        <f t="shared" si="18"/>
        <v>3.4000000000000002E-2</v>
      </c>
      <c r="G49" s="93">
        <f t="shared" ref="G49:G54" si="22">F49*$C$55</f>
        <v>185.58900000000003</v>
      </c>
      <c r="H49" s="21">
        <f t="shared" ref="H49:H54" si="23">G49*$C$51</f>
        <v>10003.247100000001</v>
      </c>
      <c r="I49" s="135">
        <f>IF(AND(C53=2,C52="P"),T!$C$56,IF(AND(C53=4,C52="P"),T!$C$57,IF(AND(C53=6,C52="P"),T!$C$58,IF(AND(C53=8,C52="P"),T!$C$59,IF(AND(C53=10,C52="P"),T!$C$60,IF(AND(C53=12,C52="P"),T!$C$61,0))))))</f>
        <v>0</v>
      </c>
      <c r="J49" s="135">
        <f>IF(AND(C53=2,C52="L"),T!$D$56,IF(AND(C53=4,C52="L"),T!$D$57,IF(AND(C53=6,C52="L"),T!$D$58,IF(AND(C53=8,C52="L"),T!$D$59,IF(AND(C53=10,C52="L"),T!$D$60,IF(AND(C53=12,C52="L"),T!$D$61,0))))))</f>
        <v>0</v>
      </c>
      <c r="K49" s="135">
        <f>IF(AND(C53=2,C52="M"),T!$E$56,IF(AND(C53=4,C52="M"),T!$E$57,IF(AND(C53=6,C52="M"),T!$E$58,IF(AND(C53=8,C52="M"),T!$E$59,IF(AND(C53=10,C52="M"),T!$E$60,IF(AND(C53=12,C52="M"),T!$E$61,0))))))</f>
        <v>21.01</v>
      </c>
      <c r="L49" s="7">
        <f t="shared" si="19"/>
        <v>21.01</v>
      </c>
      <c r="Q49" s="45">
        <f t="shared" si="20"/>
        <v>210168.22157100003</v>
      </c>
    </row>
    <row r="50" spans="1:17" x14ac:dyDescent="0.25">
      <c r="A50" s="95"/>
      <c r="B50" s="107" t="str">
        <f t="shared" ref="B50:B55" si="24">B37</f>
        <v>Tramo</v>
      </c>
      <c r="C50" s="93">
        <f>MCI!E35</f>
        <v>4</v>
      </c>
      <c r="D50" s="95"/>
      <c r="E50" s="99" t="str">
        <f t="shared" si="21"/>
        <v>C2</v>
      </c>
      <c r="F50" s="27">
        <f t="shared" si="18"/>
        <v>7.0166666666666669E-2</v>
      </c>
      <c r="G50" s="93">
        <f t="shared" si="22"/>
        <v>383.00475</v>
      </c>
      <c r="H50" s="21">
        <f t="shared" si="23"/>
        <v>20643.956024999999</v>
      </c>
      <c r="I50" s="135">
        <f>IF(AND(C53=2,C52="P"),T!$C$46,IF(AND(C53=4,C52="P"),T!$C$47,IF(AND(C53=6,C52="P"),T!$C$48,IF(AND(C53=8,C52="P"),T!$C$49,IF(AND(C53=10,C52="P"),T!$C$50,IF(AND(C53=12,C52="P"),T!$C$51,0))))))</f>
        <v>0</v>
      </c>
      <c r="J50" s="135">
        <f>IF(AND(C53=2,C52="L"),T!$D$46,IF(AND(C53=4,C52="L"),T!$D$47,IF(AND(C53=6,C52="L"),T!$D$48,IF(AND(C53=8,C52="L"),T!$D$49,IF(AND(C53=10,C52="L"),T!$D$50,IF(AND(C53=12,C52="L"),T!$D$51,0))))))</f>
        <v>0</v>
      </c>
      <c r="K50" s="135">
        <f>IF(AND(C53=2,C52="M"),T!$E$46,IF(AND(C53=4,C52="M"),T!$E$47,IF(AND(C53=6,C52="M"),T!$E$48,IF(AND(C53=8,C52="M"),T!$E$49,IF(AND(C53=10,C52="M"),T!$E$50,IF(AND(C53=12,C52="M"),T!$E$51,0))))))</f>
        <v>13.08</v>
      </c>
      <c r="L50" s="7">
        <f t="shared" si="19"/>
        <v>13.08</v>
      </c>
      <c r="Q50" s="45">
        <f t="shared" si="20"/>
        <v>270022.94480699999</v>
      </c>
    </row>
    <row r="51" spans="1:17" x14ac:dyDescent="0.25">
      <c r="A51" s="95"/>
      <c r="B51" s="107" t="str">
        <f t="shared" si="24"/>
        <v>Longitud (km)</v>
      </c>
      <c r="C51" s="76">
        <f>MCI!F23/1000</f>
        <v>53.9</v>
      </c>
      <c r="D51" s="95"/>
      <c r="E51" s="99" t="str">
        <f t="shared" si="21"/>
        <v>C3</v>
      </c>
      <c r="F51" s="27">
        <f t="shared" si="18"/>
        <v>2.0833333333333332E-2</v>
      </c>
      <c r="G51" s="93">
        <f t="shared" si="22"/>
        <v>113.71875</v>
      </c>
      <c r="H51" s="21">
        <f t="shared" si="23"/>
        <v>6129.4406250000002</v>
      </c>
      <c r="I51" s="135">
        <f>IF(AND(C53=2,C52="P"),T!$C$36,IF(AND(C53=4,C52="P"),T!$C$37,IF(AND(C53=6,C52="P"),T!$C$38,IF(AND(C53=8,C52="P"),T!$C$39,IF(AND(C53=10,C52="P"),T!$C$40,IF(AND(C53=12,C52="P"),T!$C$41,0))))))</f>
        <v>0</v>
      </c>
      <c r="J51" s="135">
        <f>IF(AND(C53=2,C52="L"),T!$D$36,IF(AND(C53=4,C52="L"),T!$D$37,IF(AND(C53=6,C52="L"),T!$D$38,IF(AND(C53=8,C52="L"),T!$D$39,IF(AND(C53=10,C52="L"),T!$D$40,IF(AND(C53=12,C52="L"),T!$D$41,0))))))</f>
        <v>0</v>
      </c>
      <c r="K51" s="135">
        <f>IF(AND(C53=2,C52="M"),T!$E$36,IF(AND(C53=4,C52="M"),T!$E$37,IF(AND(C53=6,C52="M"),T!$E$38,IF(AND(C53=8,C52="M"),T!$E$39,IF(AND(C53=10,C52="M"),T!$E$40,IF(AND(C53=12,C52="M"),T!$E$41,0))))))</f>
        <v>19.09</v>
      </c>
      <c r="L51" s="7">
        <f t="shared" si="19"/>
        <v>19.09</v>
      </c>
      <c r="Q51" s="45">
        <f t="shared" si="20"/>
        <v>117011.02153125001</v>
      </c>
    </row>
    <row r="52" spans="1:17" x14ac:dyDescent="0.25">
      <c r="A52" s="95"/>
      <c r="B52" s="107" t="str">
        <f t="shared" si="24"/>
        <v>Tipo de terreno</v>
      </c>
      <c r="C52" s="94" t="str">
        <f>IF(MCI!F24=LISTA!A2,"P",IF(MCI!F24=LISTA!A3,"L",IF(MCI!F24=LISTA!A4,"M",0)))</f>
        <v>M</v>
      </c>
      <c r="D52" s="95"/>
      <c r="E52" s="99" t="str">
        <f t="shared" si="21"/>
        <v>T3S2</v>
      </c>
      <c r="F52" s="27">
        <f t="shared" si="18"/>
        <v>4.8333333333333339E-2</v>
      </c>
      <c r="G52" s="93">
        <f t="shared" si="22"/>
        <v>263.82750000000004</v>
      </c>
      <c r="H52" s="21">
        <f t="shared" si="23"/>
        <v>14220.302250000002</v>
      </c>
      <c r="I52" s="135">
        <f>IF(AND(C53=2,C52="P"),T!$C$26,IF(AND(C53=4,C52="P"),T!$C$27,IF(AND(C53=6,C52="P"),T!$C$28,IF(AND(C53=8,C52="P"),T!$C$29,IF(AND(C53=10,C52="P"),T!$C$30,IF(AND(C53=12,C52="P"),T!$C$31,0))))))</f>
        <v>0</v>
      </c>
      <c r="J52" s="135">
        <f>IF(AND(C53=2,C52="L"),T!$D$26,IF(AND(C53=4,C52="L"),T!$D$27,IF(AND(C53=6,C52="L"),T!$D$28,IF(AND(C53=8,C52="L"),T!$D$29,IF(AND(C53=10,C52="L"),T!$D$30,IF(AND(C53=12,C52="L"),T!$D$31,0))))))</f>
        <v>0</v>
      </c>
      <c r="K52" s="135">
        <f>IF(AND(C53=2,C52="M"),T!$E$26,IF(AND(C53=4,C52="M"),T!$E$27,IF(AND(C53=6,C52="M"),T!$E$28,IF(AND(C53=8,C52="M"),T!$E$29,IF(AND(C53=10,C52="M"),T!$E$30,IF(AND(C53=12,C52="M"),T!$E$31,0))))))</f>
        <v>24.59</v>
      </c>
      <c r="L52" s="7">
        <f t="shared" si="19"/>
        <v>24.59</v>
      </c>
      <c r="Q52" s="45">
        <f t="shared" si="20"/>
        <v>349677.23232750007</v>
      </c>
    </row>
    <row r="53" spans="1:17" x14ac:dyDescent="0.25">
      <c r="A53" s="95"/>
      <c r="B53" s="107" t="str">
        <f t="shared" si="24"/>
        <v>IIR</v>
      </c>
      <c r="C53" s="77">
        <f>MCI!F25</f>
        <v>4</v>
      </c>
      <c r="D53" s="95"/>
      <c r="E53" s="99" t="str">
        <f t="shared" si="21"/>
        <v xml:space="preserve"> T3S3</v>
      </c>
      <c r="F53" s="27">
        <f t="shared" si="18"/>
        <v>1.55E-2</v>
      </c>
      <c r="G53" s="93">
        <f t="shared" si="22"/>
        <v>84.606750000000005</v>
      </c>
      <c r="H53" s="21">
        <f t="shared" si="23"/>
        <v>4560.303825</v>
      </c>
      <c r="I53" s="135">
        <f>IF(AND(C53=2,C52="P"),T!$C$16,IF(AND(C53=4,C52="P"),T!$C$17,IF(AND(C53=6,C52="P"),T!$C$18,IF(AND(C53=8,C52="P"),T!$C$19,IF(AND(C53=10,C52="P"),T!$C$20,IF(AND(C53=12,C52="P"),T!$C$21,0))))))</f>
        <v>0</v>
      </c>
      <c r="J53" s="135">
        <f>IF(AND(C53=2,C52="L"),T!$D$16,IF(AND(C53=4,C52="L"),T!$D$17,IF(AND(C53=6,C52="L"),T!$D$18,IF(AND(C53=8,C52="L"),T!$D$19,IF(AND(C53=10,C52="L"),T!$D$20,IF(AND(C53=12,C52="L"),T!$D$21,0))))))</f>
        <v>0</v>
      </c>
      <c r="K53" s="135">
        <f>IF(AND(C53=2,C52="M"),T!$E$16,IF(AND(C53=4,C52="M"),T!$E$17,IF(AND(C53=6,C52="M"),T!$E$18,IF(AND(C53=8,C52="M"),T!$E$19,IF(AND(C53=10,C52="M"),T!$E$20,IF(AND(C53=12,C52="M"),T!$E$21,0))))))</f>
        <v>29.46</v>
      </c>
      <c r="L53" s="7">
        <f t="shared" si="19"/>
        <v>29.46</v>
      </c>
      <c r="Q53" s="45">
        <f t="shared" si="20"/>
        <v>134346.55068449999</v>
      </c>
    </row>
    <row r="54" spans="1:17" x14ac:dyDescent="0.25">
      <c r="A54" s="95"/>
      <c r="B54" s="107" t="str">
        <f t="shared" si="24"/>
        <v>Descripción</v>
      </c>
      <c r="C54" s="104" t="str">
        <f>MCI!F22</f>
        <v>Acambay - Palmillas (57)</v>
      </c>
      <c r="D54" s="95"/>
      <c r="E54" s="99" t="str">
        <f t="shared" si="21"/>
        <v xml:space="preserve"> T3S2R4</v>
      </c>
      <c r="F54" s="27">
        <f t="shared" si="18"/>
        <v>1.0166666666666666E-2</v>
      </c>
      <c r="G54" s="93">
        <f t="shared" si="22"/>
        <v>55.494749999999996</v>
      </c>
      <c r="H54" s="21">
        <f t="shared" si="23"/>
        <v>2991.1670249999997</v>
      </c>
      <c r="I54" s="135">
        <f>IF(AND(C53=2,C52="P"),T!$C$6,IF(AND(C53=4,C52="P"),T!$C$7,IF(AND(C53=6,C52="P"),T!$C$8,IF(AND(C53=8,C52="P"),T!$C$9,IF(AND(C53=10,C52="P"),T!$C$10,IF(AND(C53=12,C52="P"),T!$C$11,0))))))</f>
        <v>0</v>
      </c>
      <c r="J54" s="135">
        <f>IF(AND(C53=2,C52="L"),T!$D$6,IF(AND(C53=4,C52="L"),T!$D$7,IF(AND(C53=6,C52="L"),T!$D$8,IF(AND(C53=8,C52="L"),T!$D$9,IF(AND(C53=10,C52="L"),T!$D$10,IF(AND(C53=12,C52="L"),T!$D$11,0))))))</f>
        <v>0</v>
      </c>
      <c r="K54" s="135">
        <f>IF(AND(C53=2,C52="M"),T!$E$6,IF(AND(C53=4,C52="M"),T!$E$7,IF(AND(C53=6,C52="M"),T!$E$8,IF(AND(C53=8,C52="M"),T!$E$9,IF(AND(C53=10,C52="M"),T!$E$10,IF(AND(C53=12,C52="M"),T!$E$11,0))))))</f>
        <v>39.64</v>
      </c>
      <c r="L54" s="7">
        <f t="shared" si="19"/>
        <v>39.64</v>
      </c>
      <c r="Q54" s="45">
        <f t="shared" si="20"/>
        <v>118569.860871</v>
      </c>
    </row>
    <row r="55" spans="1:17" x14ac:dyDescent="0.25">
      <c r="A55" s="95"/>
      <c r="B55" s="107" t="str">
        <f t="shared" si="24"/>
        <v>TDPARP (vpd)</v>
      </c>
      <c r="C55" s="94">
        <f>C42</f>
        <v>5458.5</v>
      </c>
      <c r="D55" s="95"/>
      <c r="E55" s="99" t="str">
        <f t="shared" si="21"/>
        <v xml:space="preserve"> OTROS</v>
      </c>
      <c r="F55" s="27">
        <f t="shared" si="18"/>
        <v>3.0000000000000768E-3</v>
      </c>
      <c r="G55" s="93">
        <f>F55*$C$55</f>
        <v>16.375500000000418</v>
      </c>
      <c r="H55" s="21">
        <f>G55*$C$51</f>
        <v>882.63945000002252</v>
      </c>
      <c r="I55" s="98"/>
      <c r="J55" s="98"/>
      <c r="K55" s="98"/>
      <c r="L55" s="85">
        <f>AVERAGE(L48:L54)</f>
        <v>21.755714285714287</v>
      </c>
      <c r="Q55" s="45">
        <f t="shared" si="20"/>
        <v>19202.45169150049</v>
      </c>
    </row>
    <row r="56" spans="1:17" x14ac:dyDescent="0.25">
      <c r="A56" s="95"/>
      <c r="C56" s="95"/>
      <c r="D56" s="95"/>
      <c r="E56" s="19"/>
      <c r="F56" s="43"/>
      <c r="G56" s="19"/>
      <c r="H56" s="44"/>
      <c r="J56" s="136"/>
      <c r="K56" s="129"/>
      <c r="L56" s="102" t="s">
        <v>17</v>
      </c>
      <c r="Q56" s="103">
        <f>SUM(Q48:Q55)</f>
        <v>2491517.2313377508</v>
      </c>
    </row>
    <row r="58" spans="1:17" x14ac:dyDescent="0.25">
      <c r="C58" s="95"/>
      <c r="D58" s="95"/>
      <c r="E58" s="93" t="s">
        <v>19</v>
      </c>
      <c r="F58" s="82" t="s">
        <v>24</v>
      </c>
      <c r="G58" s="82" t="s">
        <v>20</v>
      </c>
      <c r="H58" s="92" t="s">
        <v>36</v>
      </c>
      <c r="I58" s="353" t="s">
        <v>259</v>
      </c>
      <c r="J58" s="353" t="s">
        <v>260</v>
      </c>
      <c r="K58" s="353" t="s">
        <v>261</v>
      </c>
      <c r="L58" s="92" t="s">
        <v>234</v>
      </c>
      <c r="Q58" s="82" t="s">
        <v>268</v>
      </c>
    </row>
    <row r="59" spans="1:17" x14ac:dyDescent="0.25">
      <c r="C59" s="95"/>
      <c r="D59" s="95"/>
      <c r="E59" s="352" t="s">
        <v>1</v>
      </c>
      <c r="F59" s="93" t="s">
        <v>6</v>
      </c>
      <c r="G59" s="93" t="s">
        <v>7</v>
      </c>
      <c r="H59" s="93" t="s">
        <v>142</v>
      </c>
      <c r="I59" s="354"/>
      <c r="J59" s="354"/>
      <c r="K59" s="354"/>
      <c r="L59" s="93" t="s">
        <v>145</v>
      </c>
      <c r="Q59" s="93" t="s">
        <v>14</v>
      </c>
    </row>
    <row r="60" spans="1:17" ht="45" x14ac:dyDescent="0.25">
      <c r="C60" s="95"/>
      <c r="D60" s="95"/>
      <c r="E60" s="352"/>
      <c r="F60" s="91" t="s">
        <v>5</v>
      </c>
      <c r="G60" s="91" t="s">
        <v>3</v>
      </c>
      <c r="H60" s="91" t="s">
        <v>143</v>
      </c>
      <c r="I60" s="355"/>
      <c r="J60" s="355"/>
      <c r="K60" s="355"/>
      <c r="L60" s="91" t="s">
        <v>144</v>
      </c>
      <c r="Q60" s="91" t="s">
        <v>235</v>
      </c>
    </row>
    <row r="61" spans="1:17" x14ac:dyDescent="0.25">
      <c r="C61" s="95"/>
      <c r="D61" s="95"/>
      <c r="E61" s="99" t="str">
        <f>E48</f>
        <v>A</v>
      </c>
      <c r="F61" s="27">
        <f t="shared" ref="F61:F68" si="25">F48</f>
        <v>0.79800000000000004</v>
      </c>
      <c r="G61" s="93">
        <f>F61*$C$68</f>
        <v>4355.8829999999998</v>
      </c>
      <c r="H61" s="21">
        <f>G61*$C$64</f>
        <v>361973.87729999993</v>
      </c>
      <c r="I61" s="138">
        <f>IF(AND(C66=2,C65="P"),T!$C$66,IF(AND(C66=4,C65="P"),T!$C$67,IF(AND(C66=6,C65="P"),T!$C$68,IF(AND(C66=8,C65="P"),T!$C$69,IF(AND(C66=10,C65="P"),T!$C$70,IF(AND(C66=12,C65="P"),T!$C$71,0))))))</f>
        <v>0</v>
      </c>
      <c r="J61" s="139">
        <f>IF(AND(C66=2,C65="L"),T!$D$66,IF(AND(C66=4,C65="L"),T!$D$67,IF(AND(C66=6,C65="L"),T!$D$68,IF(AND(C66=8,C65="L"),T!$D$69,IF(AND(C66=10,C65="L"),T!$D$70,IF(AND(C66=12,C65="L"),T!$D$71,0))))))</f>
        <v>5.53</v>
      </c>
      <c r="K61" s="139">
        <f>IF(AND(C66=2,C65="M"),T!$E$66,IF(AND(C66=4,C65="M"),T!$E$67,IF(AND(C66=6,C65="M"),T!$E$68,IF(AND(C66=8,C65="M"),T!$E$69,IF(AND(C66=10,C65="M"),T!$E$70,IF(AND(C66=12,C65="M"),T!$E$71,0))))))</f>
        <v>0</v>
      </c>
      <c r="L61" s="7">
        <f t="shared" ref="L61:L67" si="26">SUM(I61:K61)</f>
        <v>5.53</v>
      </c>
      <c r="Q61" s="45">
        <f t="shared" ref="Q61:Q68" si="27">H61*L61</f>
        <v>2001715.5414689998</v>
      </c>
    </row>
    <row r="62" spans="1:17" x14ac:dyDescent="0.25">
      <c r="C62" s="95"/>
      <c r="D62" s="95"/>
      <c r="E62" s="99" t="str">
        <f t="shared" ref="E62:E68" si="28">E49</f>
        <v xml:space="preserve"> B</v>
      </c>
      <c r="F62" s="27">
        <f t="shared" si="25"/>
        <v>3.4000000000000002E-2</v>
      </c>
      <c r="G62" s="93">
        <f t="shared" ref="G62:G67" si="29">F62*$C$68</f>
        <v>185.58900000000003</v>
      </c>
      <c r="H62" s="21">
        <f t="shared" ref="H62:H67" si="30">G62*$C$64</f>
        <v>15422.445900000001</v>
      </c>
      <c r="I62" s="135">
        <f>IF(AND(C66=2,C65="P"),T!$C$56,IF(AND(C66=4,C65="P"),T!$C$57,IF(AND(C66=6,C65="P"),T!$C$58,IF(AND(C66=8,C65="P"),T!$C$59,IF(AND(C66=10,C65="P"),T!$C$60,IF(AND(C66=12,C65="P"),T!$C$61,0))))))</f>
        <v>0</v>
      </c>
      <c r="J62" s="135">
        <f>IF(AND(C66=2,C65="L"),T!$D$56,IF(AND(C66=4,C65="L"),T!$D$57,IF(AND(C66=6,C65="L"),T!$D$58,IF(AND(C66=8,C65="L"),T!$D$59,IF(AND(C66=10,C65="L"),T!$D$60,IF(AND(C66=12,C65="L"),T!$D$61,0))))))</f>
        <v>18.59</v>
      </c>
      <c r="K62" s="135">
        <f>IF(AND(C66=2,C65="M"),T!$E$56,IF(AND(C66=4,C65="M"),T!$E$57,IF(AND(C66=6,C65="M"),T!$E$58,IF(AND(C66=8,C65="M"),T!$E$59,IF(AND(C66=10,C65="M"),T!$E$60,IF(AND(C66=12,C65="M"),T!$E$61,0))))))</f>
        <v>0</v>
      </c>
      <c r="L62" s="7">
        <f t="shared" si="26"/>
        <v>18.59</v>
      </c>
      <c r="Q62" s="45">
        <f t="shared" si="27"/>
        <v>286703.26928100002</v>
      </c>
    </row>
    <row r="63" spans="1:17" x14ac:dyDescent="0.25">
      <c r="B63" s="107" t="str">
        <f t="shared" ref="B63:B68" si="31">B50</f>
        <v>Tramo</v>
      </c>
      <c r="C63" s="93">
        <f>MCI!G21</f>
        <v>5</v>
      </c>
      <c r="D63" s="95"/>
      <c r="E63" s="99" t="str">
        <f t="shared" si="28"/>
        <v>C2</v>
      </c>
      <c r="F63" s="27">
        <f t="shared" si="25"/>
        <v>7.0166666666666669E-2</v>
      </c>
      <c r="G63" s="93">
        <f t="shared" si="29"/>
        <v>383.00475</v>
      </c>
      <c r="H63" s="21">
        <f t="shared" si="30"/>
        <v>31827.694724999998</v>
      </c>
      <c r="I63" s="135">
        <f>IF(AND(C66=2,C65="P"),T!$C$46,IF(AND(C66=4,C65="P"),T!$C$47,IF(AND(C66=6,C65="P"),T!$C$48,IF(AND(C66=8,C65="P"),T!$C$49,IF(AND(C66=10,C65="P"),T!$C$50,IF(AND(C66=12,C65="P"),T!$C$51,0))))))</f>
        <v>0</v>
      </c>
      <c r="J63" s="135">
        <f>IF(AND(C66=2,C65="L"),T!$D$46,IF(AND(C66=4,C65="L"),T!$D$47,IF(AND(C66=6,C65="L"),T!$D$48,IF(AND(C66=8,C65="L"),T!$D$49,IF(AND(C66=10,C65="L"),T!$D$50,IF(AND(C66=12,C65="L"),T!$D$51,0))))))</f>
        <v>12.4</v>
      </c>
      <c r="K63" s="135">
        <f>IF(AND(C66=2,C65="M"),T!$E$46,IF(AND(C66=4,C65="M"),T!$E$47,IF(AND(C66=6,C65="M"),T!$E$48,IF(AND(C66=8,C65="M"),T!$E$49,IF(AND(C66=10,C65="M"),T!$E$50,IF(AND(C66=12,C65="M"),T!$E$51,0))))))</f>
        <v>0</v>
      </c>
      <c r="L63" s="7">
        <f t="shared" si="26"/>
        <v>12.4</v>
      </c>
      <c r="Q63" s="45">
        <f t="shared" si="27"/>
        <v>394663.41459</v>
      </c>
    </row>
    <row r="64" spans="1:17" x14ac:dyDescent="0.25">
      <c r="B64" s="107" t="str">
        <f t="shared" si="31"/>
        <v>Longitud (km)</v>
      </c>
      <c r="C64" s="76">
        <f>MCI!G23/1000</f>
        <v>83.1</v>
      </c>
      <c r="D64" s="95"/>
      <c r="E64" s="99" t="str">
        <f t="shared" si="28"/>
        <v>C3</v>
      </c>
      <c r="F64" s="27">
        <f t="shared" si="25"/>
        <v>2.0833333333333332E-2</v>
      </c>
      <c r="G64" s="93">
        <f t="shared" si="29"/>
        <v>113.71875</v>
      </c>
      <c r="H64" s="21">
        <f t="shared" si="30"/>
        <v>9450.0281249999989</v>
      </c>
      <c r="I64" s="135">
        <f>IF(AND(C66=2,C65="P"),T!$C$36,IF(AND(C66=4,C65="P"),T!$C$37,IF(AND(C66=6,C65="P"),T!$C$38,IF(AND(C66=8,C65="P"),T!$C$39,IF(AND(C66=10,C65="P"),T!$C$40,IF(AND(C66=12,C65="P"),T!$C$41,0))))))</f>
        <v>0</v>
      </c>
      <c r="J64" s="135">
        <f>IF(AND(C66=2,C65="L"),T!$D$36,IF(AND(C66=4,C65="L"),T!$D$37,IF(AND(C66=6,C65="L"),T!$D$38,IF(AND(C66=8,C65="L"),T!$D$39,IF(AND(C66=10,C65="L"),T!$D$40,IF(AND(C66=12,C65="L"),T!$D$41,0))))))</f>
        <v>16.91</v>
      </c>
      <c r="K64" s="135">
        <f>IF(AND(C66=2,C65="M"),T!$E$36,IF(AND(C66=4,C65="M"),T!$E$37,IF(AND(C66=6,C65="M"),T!$E$38,IF(AND(C66=8,C65="M"),T!$E$39,IF(AND(C66=10,C65="M"),T!$E$40,IF(AND(C66=12,C65="M"),T!$E$41,0))))))</f>
        <v>0</v>
      </c>
      <c r="L64" s="7">
        <f t="shared" si="26"/>
        <v>16.91</v>
      </c>
      <c r="Q64" s="45">
        <f t="shared" si="27"/>
        <v>159799.97559374999</v>
      </c>
    </row>
    <row r="65" spans="1:17" x14ac:dyDescent="0.25">
      <c r="B65" s="107" t="str">
        <f t="shared" si="31"/>
        <v>Tipo de terreno</v>
      </c>
      <c r="C65" s="94" t="str">
        <f>IF(MCI!G24=LISTA!A2,"P",IF(MCI!G24=LISTA!A3,"L",IF(MCI!G24=LISTA!A4,"M",0)))</f>
        <v>L</v>
      </c>
      <c r="D65" s="95"/>
      <c r="E65" s="99" t="str">
        <f t="shared" si="28"/>
        <v>T3S2</v>
      </c>
      <c r="F65" s="27">
        <f t="shared" si="25"/>
        <v>4.8333333333333339E-2</v>
      </c>
      <c r="G65" s="93">
        <f t="shared" si="29"/>
        <v>263.82750000000004</v>
      </c>
      <c r="H65" s="21">
        <f t="shared" si="30"/>
        <v>21924.065250000003</v>
      </c>
      <c r="I65" s="135">
        <f>IF(AND(C66=2,C65="P"),T!$C$26,IF(AND(C66=4,C65="P"),T!$C$27,IF(AND(C66=6,C65="P"),T!$C$28,IF(AND(C66=8,C65="P"),T!$C$29,IF(AND(C66=10,C65="P"),T!$C$30,IF(AND(C66=12,C65="P"),T!$C$31,0))))))</f>
        <v>0</v>
      </c>
      <c r="J65" s="135">
        <f>IF(AND(C66=2,C65="L"),T!$D$26,IF(AND(C66=4,C65="L"),T!$D$27,IF(AND(C66=6,C65="L"),T!$D$28,IF(AND(C66=8,C65="L"),T!$D$29,IF(AND(C66=10,C65="L"),T!$D$30,IF(AND(C66=12,C65="L"),T!$D$31,0))))))</f>
        <v>22.69</v>
      </c>
      <c r="K65" s="135">
        <f>IF(AND(C66=2,C65="M"),T!$E$26,IF(AND(C66=4,C65="M"),T!$E$27,IF(AND(C66=6,C65="M"),T!$E$28,IF(AND(C66=8,C65="M"),T!$E$29,IF(AND(C66=10,C65="M"),T!$E$30,IF(AND(C66=12,C65="M"),T!$E$31,0))))))</f>
        <v>0</v>
      </c>
      <c r="L65" s="7">
        <f t="shared" si="26"/>
        <v>22.69</v>
      </c>
      <c r="Q65" s="45">
        <f t="shared" si="27"/>
        <v>497457.04052250012</v>
      </c>
    </row>
    <row r="66" spans="1:17" x14ac:dyDescent="0.25">
      <c r="B66" s="107" t="str">
        <f t="shared" si="31"/>
        <v>IIR</v>
      </c>
      <c r="C66" s="77">
        <f>MCI!G25</f>
        <v>8</v>
      </c>
      <c r="D66" s="95"/>
      <c r="E66" s="99" t="str">
        <f t="shared" si="28"/>
        <v xml:space="preserve"> T3S3</v>
      </c>
      <c r="F66" s="27">
        <f t="shared" si="25"/>
        <v>1.55E-2</v>
      </c>
      <c r="G66" s="93">
        <f t="shared" si="29"/>
        <v>84.606750000000005</v>
      </c>
      <c r="H66" s="21">
        <f t="shared" si="30"/>
        <v>7030.820925</v>
      </c>
      <c r="I66" s="135">
        <f>IF(AND(C66=2,C65="P"),T!$C$16,IF(AND(C66=4,C65="P"),T!$C$17,IF(AND(C66=6,C65="P"),T!$C$18,IF(AND(C66=8,C65="P"),T!$C$19,IF(AND(C66=10,C65="P"),T!$C$20,IF(AND(C66=12,C65="P"),T!$C$21,0))))))</f>
        <v>0</v>
      </c>
      <c r="J66" s="135">
        <f>IF(AND(C66=2,C65="L"),T!$D$16,IF(AND(C66=4,C65="L"),T!$D$17,IF(AND(C66=6,C65="L"),T!$D$18,IF(AND(C66=8,C65="L"),T!$D$19,IF(AND(C66=10,C65="L"),T!$D$20,IF(AND(C66=12,C65="L"),T!$D$21,0))))))</f>
        <v>26.4</v>
      </c>
      <c r="K66" s="135">
        <f>IF(AND(C66=2,C65="M"),T!$E$16,IF(AND(C66=4,C65="M"),T!$E$17,IF(AND(C66=6,C65="M"),T!$E$18,IF(AND(C66=8,C65="M"),T!$E$19,IF(AND(C66=10,C65="M"),T!$E$20,IF(AND(C66=12,C65="M"),T!$E$21,0))))))</f>
        <v>0</v>
      </c>
      <c r="L66" s="7">
        <f t="shared" si="26"/>
        <v>26.4</v>
      </c>
      <c r="Q66" s="45">
        <f t="shared" si="27"/>
        <v>185613.67241999999</v>
      </c>
    </row>
    <row r="67" spans="1:17" x14ac:dyDescent="0.25">
      <c r="B67" s="107" t="str">
        <f t="shared" si="31"/>
        <v>Descripción</v>
      </c>
      <c r="C67" s="104" t="str">
        <f>MCI!G22</f>
        <v>Toluca - Jilotepec (57)</v>
      </c>
      <c r="D67" s="95"/>
      <c r="E67" s="99" t="str">
        <f t="shared" si="28"/>
        <v xml:space="preserve"> T3S2R4</v>
      </c>
      <c r="F67" s="27">
        <f t="shared" si="25"/>
        <v>1.0166666666666666E-2</v>
      </c>
      <c r="G67" s="93">
        <f t="shared" si="29"/>
        <v>55.494749999999996</v>
      </c>
      <c r="H67" s="21">
        <f t="shared" si="30"/>
        <v>4611.6137249999992</v>
      </c>
      <c r="I67" s="135">
        <f>IF(AND(C66=2,C65="P"),T!$C$6,IF(AND(C66=4,C65="P"),T!$C$7,IF(AND(C66=6,C65="P"),T!$C$8,IF(AND(C66=8,C65="P"),T!$C$9,IF(AND(C66=10,C65="P"),T!$C$10,IF(AND(C66=12,C65="P"),T!$C$11,0))))))</f>
        <v>0</v>
      </c>
      <c r="J67" s="135">
        <f>IF(AND(C66=2,C65="L"),T!$D$6,IF(AND(C66=4,C65="L"),T!$D$7,IF(AND(C66=6,C65="L"),T!$D$8,IF(AND(C66=8,C65="L"),T!$D$9,IF(AND(C66=10,C65="L"),T!$D$10,IF(AND(C66=12,C65="L"),T!$D$11,0))))))</f>
        <v>34.61</v>
      </c>
      <c r="K67" s="135">
        <f>IF(AND(C66=2,C65="M"),T!$E$6,IF(AND(C66=4,C65="M"),T!$E$7,IF(AND(C66=6,C65="M"),T!$E$8,IF(AND(C66=8,C65="M"),T!$E$9,IF(AND(C66=10,C65="M"),T!$E$10,IF(AND(C66=12,C65="M"),T!$E$11,0))))))</f>
        <v>0</v>
      </c>
      <c r="L67" s="7">
        <f t="shared" si="26"/>
        <v>34.61</v>
      </c>
      <c r="Q67" s="45">
        <f t="shared" si="27"/>
        <v>159607.95102224997</v>
      </c>
    </row>
    <row r="68" spans="1:17" x14ac:dyDescent="0.25">
      <c r="B68" s="107" t="str">
        <f t="shared" si="31"/>
        <v>TDPARP (vpd)</v>
      </c>
      <c r="C68" s="94">
        <f>C55</f>
        <v>5458.5</v>
      </c>
      <c r="D68" s="95"/>
      <c r="E68" s="99" t="str">
        <f t="shared" si="28"/>
        <v xml:space="preserve"> OTROS</v>
      </c>
      <c r="F68" s="27">
        <f t="shared" si="25"/>
        <v>3.0000000000000768E-3</v>
      </c>
      <c r="G68" s="93">
        <f>F68*$C$68</f>
        <v>16.375500000000418</v>
      </c>
      <c r="H68" s="21">
        <f>G68*$C$64</f>
        <v>1360.8040500000347</v>
      </c>
      <c r="I68" s="98"/>
      <c r="J68" s="98"/>
      <c r="K68" s="98"/>
      <c r="L68" s="85">
        <f>AVERAGE(L61:L67)</f>
        <v>19.59</v>
      </c>
      <c r="Q68" s="45">
        <f t="shared" si="27"/>
        <v>26658.15133950068</v>
      </c>
    </row>
    <row r="69" spans="1:17" x14ac:dyDescent="0.25">
      <c r="C69" s="95"/>
      <c r="D69" s="95"/>
      <c r="E69" s="19"/>
      <c r="F69" s="43"/>
      <c r="G69" s="19"/>
      <c r="H69" s="44"/>
      <c r="J69" s="136"/>
      <c r="K69" s="129"/>
      <c r="L69" s="102" t="s">
        <v>17</v>
      </c>
      <c r="Q69" s="103">
        <f>SUM(Q61:Q68)</f>
        <v>3712219.0162380007</v>
      </c>
    </row>
    <row r="71" spans="1:17" x14ac:dyDescent="0.25">
      <c r="A71" s="95"/>
      <c r="C71" s="95"/>
      <c r="D71" s="95"/>
      <c r="E71" s="93" t="s">
        <v>19</v>
      </c>
      <c r="F71" s="82" t="s">
        <v>24</v>
      </c>
      <c r="G71" s="82" t="s">
        <v>20</v>
      </c>
      <c r="H71" s="92" t="s">
        <v>36</v>
      </c>
      <c r="I71" s="353" t="s">
        <v>259</v>
      </c>
      <c r="J71" s="353" t="s">
        <v>260</v>
      </c>
      <c r="K71" s="353" t="s">
        <v>261</v>
      </c>
      <c r="L71" s="92" t="s">
        <v>234</v>
      </c>
      <c r="Q71" s="82" t="s">
        <v>269</v>
      </c>
    </row>
    <row r="72" spans="1:17" x14ac:dyDescent="0.25">
      <c r="A72" s="95"/>
      <c r="C72" s="95"/>
      <c r="D72" s="95"/>
      <c r="E72" s="352" t="s">
        <v>1</v>
      </c>
      <c r="F72" s="93" t="s">
        <v>6</v>
      </c>
      <c r="G72" s="93" t="s">
        <v>7</v>
      </c>
      <c r="H72" s="93" t="s">
        <v>142</v>
      </c>
      <c r="I72" s="354"/>
      <c r="J72" s="354"/>
      <c r="K72" s="354"/>
      <c r="L72" s="93" t="s">
        <v>145</v>
      </c>
      <c r="Q72" s="93" t="s">
        <v>14</v>
      </c>
    </row>
    <row r="73" spans="1:17" ht="45" x14ac:dyDescent="0.25">
      <c r="A73" s="95"/>
      <c r="C73" s="95"/>
      <c r="D73" s="95"/>
      <c r="E73" s="352"/>
      <c r="F73" s="91" t="s">
        <v>5</v>
      </c>
      <c r="G73" s="91" t="s">
        <v>3</v>
      </c>
      <c r="H73" s="91" t="s">
        <v>143</v>
      </c>
      <c r="I73" s="355"/>
      <c r="J73" s="355"/>
      <c r="K73" s="355"/>
      <c r="L73" s="91" t="s">
        <v>144</v>
      </c>
      <c r="Q73" s="91" t="s">
        <v>235</v>
      </c>
    </row>
    <row r="74" spans="1:17" x14ac:dyDescent="0.25">
      <c r="A74" s="95"/>
      <c r="C74" s="95"/>
      <c r="D74" s="95"/>
      <c r="E74" s="99" t="str">
        <f>E61</f>
        <v>A</v>
      </c>
      <c r="F74" s="27">
        <f t="shared" ref="F74:F81" si="32">F61</f>
        <v>0.79800000000000004</v>
      </c>
      <c r="G74" s="93">
        <f>F74*$C$81</f>
        <v>4355.8829999999998</v>
      </c>
      <c r="H74" s="21">
        <f>G74*$C$77</f>
        <v>170315.02530000001</v>
      </c>
      <c r="I74" s="138">
        <f>IF(AND(C79=2,C78="P"),T!$C$66,IF(AND(C79=4,C78="P"),T!$C$67,IF(AND(C79=6,C78="P"),T!$C$68,IF(AND(C79=8,C78="P"),T!$C$69,IF(AND(C79=10,C78="P"),T!$C$70,IF(AND(C79=12,C78="P"),T!$C$71,0))))))</f>
        <v>0</v>
      </c>
      <c r="J74" s="139">
        <f>IF(AND(C79=2,C78="L"),T!$D$66,IF(AND(C79=4,C78="L"),T!$D$67,IF(AND(C79=6,C78="L"),T!$D$68,IF(AND(C79=8,C78="L"),T!$D$69,IF(AND(C79=10,C78="L"),T!$D$70,IF(AND(C79=12,C78="L"),T!$D$71,0))))))</f>
        <v>4.8099999999999996</v>
      </c>
      <c r="K74" s="139">
        <f>IF(AND(C79=2,C78="M"),T!$E$66,IF(AND(C79=4,C78="M"),T!$E$67,IF(AND(C79=6,C78="M"),T!$E$68,IF(AND(C79=8,C78="M"),T!$E$69,IF(AND(C79=10,C78="M"),T!$E$70,IF(AND(C79=12,C78="M"),T!$E$71,0))))))</f>
        <v>0</v>
      </c>
      <c r="L74" s="7">
        <f t="shared" ref="L74:L80" si="33">SUM(I74:K74)</f>
        <v>4.8099999999999996</v>
      </c>
      <c r="Q74" s="45">
        <f t="shared" ref="Q74:Q81" si="34">H74*L74</f>
        <v>819215.27169299999</v>
      </c>
    </row>
    <row r="75" spans="1:17" x14ac:dyDescent="0.25">
      <c r="A75" s="95"/>
      <c r="C75" s="95"/>
      <c r="D75" s="95"/>
      <c r="E75" s="99" t="str">
        <f t="shared" ref="E75:E81" si="35">E62</f>
        <v xml:space="preserve"> B</v>
      </c>
      <c r="F75" s="27">
        <f t="shared" si="32"/>
        <v>3.4000000000000002E-2</v>
      </c>
      <c r="G75" s="118">
        <f t="shared" ref="G75:G81" si="36">F75*$C$81</f>
        <v>185.58900000000003</v>
      </c>
      <c r="H75" s="21">
        <f t="shared" ref="H75:H81" si="37">G75*$C$77</f>
        <v>7256.5299000000014</v>
      </c>
      <c r="I75" s="135">
        <f>IF(AND(C79=2,C78="P"),T!$C$56,IF(AND(C79=4,C78="P"),T!$C$57,IF(AND(C79=6,C78="P"),T!$C$58,IF(AND(C79=8,C78="P"),T!$C$59,IF(AND(C79=10,C78="P"),T!$C$60,IF(AND(C79=12,C78="P"),T!$C$61,0))))))</f>
        <v>0</v>
      </c>
      <c r="J75" s="135">
        <f>IF(AND(C79=2,C78="L"),T!$D$56,IF(AND(C79=4,C78="L"),T!$D$57,IF(AND(C79=6,C78="L"),T!$D$58,IF(AND(C79=8,C78="L"),T!$D$59,IF(AND(C79=10,C78="L"),T!$D$60,IF(AND(C79=12,C78="L"),T!$D$61,0))))))</f>
        <v>17.18</v>
      </c>
      <c r="K75" s="135">
        <f>IF(AND(C79=2,C78="M"),T!$E$56,IF(AND(C79=4,C78="M"),T!$E$57,IF(AND(C79=6,C78="M"),T!$E$58,IF(AND(C79=8,C78="M"),T!$E$59,IF(AND(C79=10,C78="M"),T!$E$60,IF(AND(C79=12,C78="M"),T!$E$61,0))))))</f>
        <v>0</v>
      </c>
      <c r="L75" s="7">
        <f t="shared" si="33"/>
        <v>17.18</v>
      </c>
      <c r="Q75" s="45">
        <f t="shared" si="34"/>
        <v>124667.18368200002</v>
      </c>
    </row>
    <row r="76" spans="1:17" x14ac:dyDescent="0.25">
      <c r="A76" s="95"/>
      <c r="B76" s="107" t="str">
        <f t="shared" ref="B76:B81" si="38">B63</f>
        <v>Tramo</v>
      </c>
      <c r="C76" s="93">
        <f>MCI!H21</f>
        <v>6</v>
      </c>
      <c r="D76" s="95"/>
      <c r="E76" s="99" t="str">
        <f t="shared" si="35"/>
        <v>C2</v>
      </c>
      <c r="F76" s="27">
        <f t="shared" si="32"/>
        <v>7.0166666666666669E-2</v>
      </c>
      <c r="G76" s="118">
        <f t="shared" si="36"/>
        <v>383.00475</v>
      </c>
      <c r="H76" s="21">
        <f t="shared" si="37"/>
        <v>14975.485725</v>
      </c>
      <c r="I76" s="135">
        <f>IF(AND(C79=2,C78="P"),T!$C$46,IF(AND(C79=4,C78="P"),T!$C$47,IF(AND(C79=6,C78="P"),T!$C$48,IF(AND(C79=8,C78="P"),T!$C$49,IF(AND(C79=10,C78="P"),T!$C$50,IF(AND(C79=12,C78="P"),T!$C$51,0))))))</f>
        <v>0</v>
      </c>
      <c r="J76" s="135">
        <f>IF(AND(C79=2,C78="L"),T!$D$46,IF(AND(C79=4,C78="L"),T!$D$47,IF(AND(C79=6,C78="L"),T!$D$48,IF(AND(C79=8,C78="L"),T!$D$49,IF(AND(C79=10,C78="L"),T!$D$50,IF(AND(C79=12,C78="L"),T!$D$51,0))))))</f>
        <v>10.66</v>
      </c>
      <c r="K76" s="135">
        <f>IF(AND(C79=2,C78="M"),T!$E$46,IF(AND(C79=4,C78="M"),T!$E$47,IF(AND(C79=6,C78="M"),T!$E$48,IF(AND(C79=8,C78="M"),T!$E$49,IF(AND(C79=10,C78="M"),T!$E$50,IF(AND(C79=12,C78="M"),T!$E$51,0))))))</f>
        <v>0</v>
      </c>
      <c r="L76" s="7">
        <f t="shared" si="33"/>
        <v>10.66</v>
      </c>
      <c r="Q76" s="45">
        <f t="shared" si="34"/>
        <v>159638.67782850002</v>
      </c>
    </row>
    <row r="77" spans="1:17" x14ac:dyDescent="0.25">
      <c r="A77" s="95"/>
      <c r="B77" s="107" t="str">
        <f t="shared" si="38"/>
        <v>Longitud (km)</v>
      </c>
      <c r="C77" s="76">
        <f>MCI!H23/1000</f>
        <v>39.1</v>
      </c>
      <c r="D77" s="95"/>
      <c r="E77" s="99" t="str">
        <f t="shared" si="35"/>
        <v>C3</v>
      </c>
      <c r="F77" s="27">
        <f t="shared" si="32"/>
        <v>2.0833333333333332E-2</v>
      </c>
      <c r="G77" s="118">
        <f t="shared" si="36"/>
        <v>113.71875</v>
      </c>
      <c r="H77" s="21">
        <f t="shared" si="37"/>
        <v>4446.4031249999998</v>
      </c>
      <c r="I77" s="135">
        <f>IF(AND(C79=2,C78="P"),T!$C$36,IF(AND(C79=4,C78="P"),T!$C$37,IF(AND(C79=6,C78="P"),T!$C$38,IF(AND(C79=8,C78="P"),T!$C$39,IF(AND(C79=10,C78="P"),T!$C$40,IF(AND(C79=12,C78="P"),T!$C$41,0))))))</f>
        <v>0</v>
      </c>
      <c r="J77" s="135">
        <f>IF(AND(C79=2,C78="L"),T!$D$36,IF(AND(C79=4,C78="L"),T!$D$37,IF(AND(C79=6,C78="L"),T!$D$38,IF(AND(C79=8,C78="L"),T!$D$39,IF(AND(C79=10,C78="L"),T!$D$40,IF(AND(C79=12,C78="L"),T!$D$41,0))))))</f>
        <v>15.12</v>
      </c>
      <c r="K77" s="135">
        <f>IF(AND(C79=2,C78="M"),T!$E$36,IF(AND(C79=4,C78="M"),T!$E$37,IF(AND(C79=6,C78="M"),T!$E$38,IF(AND(C79=8,C78="M"),T!$E$39,IF(AND(C79=10,C78="M"),T!$E$40,IF(AND(C79=12,C78="M"),T!$E$41,0))))))</f>
        <v>0</v>
      </c>
      <c r="L77" s="7">
        <f t="shared" si="33"/>
        <v>15.12</v>
      </c>
      <c r="Q77" s="45">
        <f t="shared" si="34"/>
        <v>67229.615249999988</v>
      </c>
    </row>
    <row r="78" spans="1:17" x14ac:dyDescent="0.25">
      <c r="A78" s="95"/>
      <c r="B78" s="107" t="str">
        <f t="shared" si="38"/>
        <v>Tipo de terreno</v>
      </c>
      <c r="C78" s="94" t="str">
        <f>IF(MCI!H24=LISTA!A2,"P",IF(MCI!H24=LISTA!A3,"L",IF(MCI!H24=LISTA!A4,"M",0)))</f>
        <v>L</v>
      </c>
      <c r="D78" s="95"/>
      <c r="E78" s="99" t="str">
        <f t="shared" si="35"/>
        <v>T3S2</v>
      </c>
      <c r="F78" s="27">
        <f t="shared" si="32"/>
        <v>4.8333333333333339E-2</v>
      </c>
      <c r="G78" s="118">
        <f t="shared" si="36"/>
        <v>263.82750000000004</v>
      </c>
      <c r="H78" s="21">
        <f t="shared" si="37"/>
        <v>10315.655250000002</v>
      </c>
      <c r="I78" s="135">
        <f>IF(AND(C79=2,C78="P"),T!$C$26,IF(AND(C79=4,C78="P"),T!$C$27,IF(AND(C79=6,C78="P"),T!$C$28,IF(AND(C79=8,C78="P"),T!$C$29,IF(AND(C79=10,C78="P"),T!$C$30,IF(AND(C79=12,C78="P"),T!$C$31,0))))))</f>
        <v>0</v>
      </c>
      <c r="J78" s="135">
        <f>IF(AND(C79=2,C78="L"),T!$D$26,IF(AND(C79=4,C78="L"),T!$D$27,IF(AND(C79=6,C78="L"),T!$D$28,IF(AND(C79=8,C78="L"),T!$D$29,IF(AND(C79=10,C78="L"),T!$D$30,IF(AND(C79=12,C78="L"),T!$D$31,0))))))</f>
        <v>19.96</v>
      </c>
      <c r="K78" s="135">
        <f>IF(AND(C79=2,C78="M"),T!$E$26,IF(AND(C79=4,C78="M"),T!$E$27,IF(AND(C79=6,C78="M"),T!$E$28,IF(AND(C79=8,C78="M"),T!$E$29,IF(AND(C79=10,C78="M"),T!$E$30,IF(AND(C79=12,C78="M"),T!$E$31,0))))))</f>
        <v>0</v>
      </c>
      <c r="L78" s="7">
        <f t="shared" si="33"/>
        <v>19.96</v>
      </c>
      <c r="Q78" s="45">
        <f t="shared" si="34"/>
        <v>205900.47879000005</v>
      </c>
    </row>
    <row r="79" spans="1:17" x14ac:dyDescent="0.25">
      <c r="A79" s="95"/>
      <c r="B79" s="107" t="str">
        <f t="shared" si="38"/>
        <v>IIR</v>
      </c>
      <c r="C79" s="77">
        <f>MCI!H25</f>
        <v>4</v>
      </c>
      <c r="D79" s="95"/>
      <c r="E79" s="99" t="str">
        <f t="shared" si="35"/>
        <v xml:space="preserve"> T3S3</v>
      </c>
      <c r="F79" s="27">
        <f t="shared" si="32"/>
        <v>1.55E-2</v>
      </c>
      <c r="G79" s="118">
        <f t="shared" si="36"/>
        <v>84.606750000000005</v>
      </c>
      <c r="H79" s="21">
        <f t="shared" si="37"/>
        <v>3308.1239250000003</v>
      </c>
      <c r="I79" s="135">
        <f>IF(AND(C79=2,C78="P"),T!$C$16,IF(AND(C79=4,C78="P"),T!$C$17,IF(AND(C79=6,C78="P"),T!$C$18,IF(AND(C79=8,C78="P"),T!$C$19,IF(AND(C79=10,C78="P"),T!$C$20,IF(AND(C79=12,C78="P"),T!$C$21,0))))))</f>
        <v>0</v>
      </c>
      <c r="J79" s="135">
        <f>IF(AND(C79=2,C78="L"),T!$D$16,IF(AND(C79=4,C78="L"),T!$D$17,IF(AND(C79=6,C78="L"),T!$D$18,IF(AND(C79=8,C78="L"),T!$D$19,IF(AND(C79=10,C78="L"),T!$D$20,IF(AND(C79=12,C78="L"),T!$D$21,0))))))</f>
        <v>23.5</v>
      </c>
      <c r="K79" s="135">
        <f>IF(AND(C79=2,C78="M"),T!$E$16,IF(AND(C79=4,C78="M"),T!$E$17,IF(AND(C79=6,C78="M"),T!$E$18,IF(AND(C79=8,C78="M"),T!$E$19,IF(AND(C79=10,C78="M"),T!$E$20,IF(AND(C79=12,C78="M"),T!$E$21,0))))))</f>
        <v>0</v>
      </c>
      <c r="L79" s="7">
        <f t="shared" si="33"/>
        <v>23.5</v>
      </c>
      <c r="Q79" s="45">
        <f t="shared" si="34"/>
        <v>77740.912237500001</v>
      </c>
    </row>
    <row r="80" spans="1:17" x14ac:dyDescent="0.25">
      <c r="A80" s="95"/>
      <c r="B80" s="107" t="str">
        <f t="shared" si="38"/>
        <v>Descripción</v>
      </c>
      <c r="C80" s="104" t="str">
        <f>MCI!H22</f>
        <v>Acambay - Jilotepec (40D)</v>
      </c>
      <c r="D80" s="95"/>
      <c r="E80" s="99" t="str">
        <f t="shared" si="35"/>
        <v xml:space="preserve"> T3S2R4</v>
      </c>
      <c r="F80" s="27">
        <f t="shared" si="32"/>
        <v>1.0166666666666666E-2</v>
      </c>
      <c r="G80" s="118">
        <f t="shared" si="36"/>
        <v>55.494749999999996</v>
      </c>
      <c r="H80" s="21">
        <f t="shared" si="37"/>
        <v>2169.8447249999999</v>
      </c>
      <c r="I80" s="135">
        <f>IF(AND(C79=2,C78="P"),T!$C$6,IF(AND(C79=4,C78="P"),T!$C$7,IF(AND(C79=6,C78="P"),T!$C$8,IF(AND(C79=8,C78="P"),T!$C$9,IF(AND(C79=10,C78="P"),T!$C$10,IF(AND(C79=12,C78="P"),T!$C$11,0))))))</f>
        <v>0</v>
      </c>
      <c r="J80" s="135">
        <f>IF(AND(C79=2,C78="L"),T!$D$6,IF(AND(C79=4,C78="L"),T!$D$7,IF(AND(C79=6,C78="L"),T!$D$8,IF(AND(C79=8,C78="L"),T!$D$9,IF(AND(C79=10,C78="L"),T!$D$10,IF(AND(C79=12,C78="L"),T!$D$11,0))))))</f>
        <v>31.16</v>
      </c>
      <c r="K80" s="135">
        <f>IF(AND(C79=2,C78="M"),T!$E$6,IF(AND(C79=4,C78="M"),T!$E$7,IF(AND(C79=6,C78="M"),T!$E$8,IF(AND(C79=8,C78="M"),T!$E$9,IF(AND(C79=10,C78="M"),T!$E$10,IF(AND(C79=12,C78="M"),T!$E$11,0))))))</f>
        <v>0</v>
      </c>
      <c r="L80" s="7">
        <f t="shared" si="33"/>
        <v>31.16</v>
      </c>
      <c r="Q80" s="45">
        <f t="shared" si="34"/>
        <v>67612.361630999992</v>
      </c>
    </row>
    <row r="81" spans="1:17" x14ac:dyDescent="0.25">
      <c r="A81" s="95"/>
      <c r="B81" s="107" t="str">
        <f t="shared" si="38"/>
        <v>TDPARP (vpd)</v>
      </c>
      <c r="C81" s="94">
        <f>C68</f>
        <v>5458.5</v>
      </c>
      <c r="D81" s="95"/>
      <c r="E81" s="99" t="str">
        <f t="shared" si="35"/>
        <v xml:space="preserve"> OTROS</v>
      </c>
      <c r="F81" s="27">
        <f t="shared" si="32"/>
        <v>3.0000000000000768E-3</v>
      </c>
      <c r="G81" s="118">
        <f t="shared" si="36"/>
        <v>16.375500000000418</v>
      </c>
      <c r="H81" s="21">
        <f t="shared" si="37"/>
        <v>640.2820500000164</v>
      </c>
      <c r="I81" s="98"/>
      <c r="J81" s="98"/>
      <c r="K81" s="98"/>
      <c r="L81" s="85">
        <f>AVERAGE(L74:L80)</f>
        <v>17.484285714285711</v>
      </c>
      <c r="Q81" s="45">
        <f t="shared" si="34"/>
        <v>11194.874299928857</v>
      </c>
    </row>
    <row r="82" spans="1:17" x14ac:dyDescent="0.25">
      <c r="A82" s="95"/>
      <c r="C82" s="95"/>
      <c r="D82" s="95"/>
      <c r="E82" s="19"/>
      <c r="F82" s="43"/>
      <c r="G82" s="19"/>
      <c r="H82" s="44"/>
      <c r="J82" s="136"/>
      <c r="K82" s="129"/>
      <c r="L82" s="102" t="s">
        <v>17</v>
      </c>
      <c r="Q82" s="103">
        <f>SUM(Q74:Q81)</f>
        <v>1533199.3754119289</v>
      </c>
    </row>
    <row r="84" spans="1:17" x14ac:dyDescent="0.25">
      <c r="A84" s="95"/>
      <c r="C84" s="95"/>
      <c r="D84" s="95"/>
      <c r="E84" s="93" t="s">
        <v>19</v>
      </c>
      <c r="F84" s="82" t="s">
        <v>24</v>
      </c>
      <c r="G84" s="82" t="s">
        <v>20</v>
      </c>
      <c r="H84" s="92" t="s">
        <v>36</v>
      </c>
      <c r="I84" s="353" t="s">
        <v>259</v>
      </c>
      <c r="J84" s="353" t="s">
        <v>260</v>
      </c>
      <c r="K84" s="353" t="s">
        <v>261</v>
      </c>
      <c r="L84" s="92" t="s">
        <v>234</v>
      </c>
      <c r="Q84" s="82" t="s">
        <v>270</v>
      </c>
    </row>
    <row r="85" spans="1:17" x14ac:dyDescent="0.25">
      <c r="A85" s="95"/>
      <c r="C85" s="95"/>
      <c r="D85" s="95"/>
      <c r="E85" s="352" t="s">
        <v>1</v>
      </c>
      <c r="F85" s="93" t="s">
        <v>6</v>
      </c>
      <c r="G85" s="93" t="s">
        <v>7</v>
      </c>
      <c r="H85" s="93" t="s">
        <v>142</v>
      </c>
      <c r="I85" s="354"/>
      <c r="J85" s="354"/>
      <c r="K85" s="354"/>
      <c r="L85" s="93" t="s">
        <v>145</v>
      </c>
      <c r="Q85" s="93" t="s">
        <v>14</v>
      </c>
    </row>
    <row r="86" spans="1:17" ht="45" x14ac:dyDescent="0.25">
      <c r="A86" s="95"/>
      <c r="C86" s="95"/>
      <c r="D86" s="95"/>
      <c r="E86" s="352"/>
      <c r="F86" s="91" t="s">
        <v>5</v>
      </c>
      <c r="G86" s="91" t="s">
        <v>3</v>
      </c>
      <c r="H86" s="91" t="s">
        <v>143</v>
      </c>
      <c r="I86" s="355"/>
      <c r="J86" s="355"/>
      <c r="K86" s="355"/>
      <c r="L86" s="91" t="s">
        <v>144</v>
      </c>
      <c r="Q86" s="91" t="s">
        <v>235</v>
      </c>
    </row>
    <row r="87" spans="1:17" x14ac:dyDescent="0.25">
      <c r="A87" s="95"/>
      <c r="C87" s="95"/>
      <c r="D87" s="95"/>
      <c r="E87" s="99" t="str">
        <f>E74</f>
        <v>A</v>
      </c>
      <c r="F87" s="27">
        <f t="shared" ref="F87:F94" si="39">F74</f>
        <v>0.79800000000000004</v>
      </c>
      <c r="G87" s="93">
        <f>F87*$C$94</f>
        <v>4355.8829999999998</v>
      </c>
      <c r="H87" s="21">
        <f>G87*$C$90</f>
        <v>292715.33760000003</v>
      </c>
      <c r="I87" s="138">
        <f>IF(AND(C92=2,C91="P"),T!$C$66,IF(AND(C92=4,C91="P"),T!$C$67,IF(AND(C92=6,C91="P"),T!$C$68,IF(AND(C92=8,C91="P"),T!$C$69,IF(AND(C92=10,C91="P"),T!$C$70,IF(AND(C92=12,C91="P"),T!$C$71,0))))))</f>
        <v>0</v>
      </c>
      <c r="J87" s="139">
        <f>IF(AND(C92=2,C91="L"),T!$D$66,IF(AND(C92=4,C91="L"),T!$D$67,IF(AND(C92=6,C91="L"),T!$D$68,IF(AND(C92=8,C91="L"),T!$D$69,IF(AND(C92=10,C91="L"),T!$D$70,IF(AND(C92=12,C91="L"),T!$D$71,0))))))</f>
        <v>4.58</v>
      </c>
      <c r="K87" s="139">
        <f>IF(AND(C92=2,C91="M"),T!$E$66,IF(AND(C92=4,C91="M"),T!$E$67,IF(AND(C92=6,C91="M"),T!$E$68,IF(AND(C92=8,C91="M"),T!$E$69,IF(AND(C92=10,C91="M"),T!$E$70,IF(AND(C92=12,C91="M"),T!$E$71,0))))))</f>
        <v>0</v>
      </c>
      <c r="L87" s="7">
        <f t="shared" ref="L87:L93" si="40">SUM(I87:K87)</f>
        <v>4.58</v>
      </c>
      <c r="Q87" s="45">
        <f t="shared" ref="Q87:Q94" si="41">H87*L87</f>
        <v>1340636.2462080002</v>
      </c>
    </row>
    <row r="88" spans="1:17" x14ac:dyDescent="0.25">
      <c r="A88" s="95"/>
      <c r="C88" s="95"/>
      <c r="D88" s="95"/>
      <c r="E88" s="99" t="str">
        <f t="shared" ref="E88:E94" si="42">E75</f>
        <v xml:space="preserve"> B</v>
      </c>
      <c r="F88" s="27">
        <f t="shared" si="39"/>
        <v>3.4000000000000002E-2</v>
      </c>
      <c r="G88" s="118">
        <f t="shared" ref="G88:G94" si="43">F88*$C$94</f>
        <v>185.58900000000003</v>
      </c>
      <c r="H88" s="21">
        <f t="shared" ref="H88:H94" si="44">G88*$C$90</f>
        <v>12471.580800000002</v>
      </c>
      <c r="I88" s="135">
        <f>IF(AND(C92=2,C91="P"),T!$C$56,IF(AND(C92=4,C91="P"),T!$C$57,IF(AND(C92=6,C91="P"),T!$C$58,IF(AND(C92=8,C91="P"),T!$C$59,IF(AND(C92=10,C91="P"),T!$C$60,IF(AND(C92=12,C91="P"),T!$C$61,0))))))</f>
        <v>0</v>
      </c>
      <c r="J88" s="135">
        <f>IF(AND(C92=2,C91="L"),T!$D$56,IF(AND(C92=4,C91="L"),T!$D$57,IF(AND(C92=6,C91="L"),T!$D$58,IF(AND(C92=8,C91="L"),T!$D$59,IF(AND(C92=10,C91="L"),T!$D$60,IF(AND(C92=12,C91="L"),T!$D$61,0))))))</f>
        <v>16.559999999999999</v>
      </c>
      <c r="K88" s="135">
        <f>IF(AND(C92=2,C91="M"),T!$E$56,IF(AND(C92=4,C91="M"),T!$E$57,IF(AND(C92=6,C91="M"),T!$E$58,IF(AND(C92=8,C91="M"),T!$E$59,IF(AND(C92=10,C91="M"),T!$E$60,IF(AND(C92=12,C91="M"),T!$E$61,0))))))</f>
        <v>0</v>
      </c>
      <c r="L88" s="7">
        <f t="shared" si="40"/>
        <v>16.559999999999999</v>
      </c>
      <c r="Q88" s="45">
        <f t="shared" si="41"/>
        <v>206529.37804800001</v>
      </c>
    </row>
    <row r="89" spans="1:17" x14ac:dyDescent="0.25">
      <c r="A89" s="95"/>
      <c r="B89" s="107" t="str">
        <f t="shared" ref="B89:B94" si="45">B76</f>
        <v>Tramo</v>
      </c>
      <c r="C89" s="93">
        <f>MCI!I21</f>
        <v>7</v>
      </c>
      <c r="D89" s="95"/>
      <c r="E89" s="99" t="str">
        <f t="shared" si="42"/>
        <v>C2</v>
      </c>
      <c r="F89" s="27">
        <f t="shared" si="39"/>
        <v>7.0166666666666669E-2</v>
      </c>
      <c r="G89" s="118">
        <f t="shared" si="43"/>
        <v>383.00475</v>
      </c>
      <c r="H89" s="21">
        <f t="shared" si="44"/>
        <v>25737.9192</v>
      </c>
      <c r="I89" s="135">
        <f>IF(AND(C92=2,C91="P"),T!$C$46,IF(AND(C92=4,C91="P"),T!$C$47,IF(AND(C92=6,C91="P"),T!$C$48,IF(AND(C92=8,C91="P"),T!$C$49,IF(AND(C92=10,C91="P"),T!$C$50,IF(AND(C92=12,C91="P"),T!$C$51,0))))))</f>
        <v>0</v>
      </c>
      <c r="J89" s="135">
        <f>IF(AND(C92=2,C91="L"),T!$D$46,IF(AND(C92=4,C91="L"),T!$D$47,IF(AND(C92=6,C91="L"),T!$D$48,IF(AND(C92=8,C91="L"),T!$D$49,IF(AND(C92=10,C91="L"),T!$D$50,IF(AND(C92=12,C91="L"),T!$D$51,0))))))</f>
        <v>9.76</v>
      </c>
      <c r="K89" s="135">
        <f>IF(AND(C92=2,C91="M"),T!$E$46,IF(AND(C92=4,C91="M"),T!$E$47,IF(AND(C92=6,C91="M"),T!$E$48,IF(AND(C92=8,C91="M"),T!$E$49,IF(AND(C92=10,C91="M"),T!$E$50,IF(AND(C92=12,C91="M"),T!$E$51,0))))))</f>
        <v>0</v>
      </c>
      <c r="L89" s="7">
        <f t="shared" si="40"/>
        <v>9.76</v>
      </c>
      <c r="Q89" s="45">
        <f t="shared" si="41"/>
        <v>251202.091392</v>
      </c>
    </row>
    <row r="90" spans="1:17" x14ac:dyDescent="0.25">
      <c r="A90" s="95"/>
      <c r="B90" s="107" t="str">
        <f t="shared" si="45"/>
        <v>Longitud (km)</v>
      </c>
      <c r="C90" s="76">
        <f>MCI!I23/1000</f>
        <v>67.2</v>
      </c>
      <c r="D90" s="95"/>
      <c r="E90" s="99" t="str">
        <f t="shared" si="42"/>
        <v>C3</v>
      </c>
      <c r="F90" s="27">
        <f t="shared" si="39"/>
        <v>2.0833333333333332E-2</v>
      </c>
      <c r="G90" s="118">
        <f t="shared" si="43"/>
        <v>113.71875</v>
      </c>
      <c r="H90" s="21">
        <f t="shared" si="44"/>
        <v>7641.9000000000005</v>
      </c>
      <c r="I90" s="135">
        <f>IF(AND(C92=2,C91="P"),T!$C$36,IF(AND(C92=4,C91="P"),T!$C$37,IF(AND(C92=6,C91="P"),T!$C$38,IF(AND(C92=8,C91="P"),T!$C$39,IF(AND(C92=10,C91="P"),T!$C$40,IF(AND(C92=12,C91="P"),T!$C$41,0))))))</f>
        <v>0</v>
      </c>
      <c r="J90" s="135">
        <f>IF(AND(C92=2,C91="L"),T!$D$36,IF(AND(C92=4,C91="L"),T!$D$37,IF(AND(C92=6,C91="L"),T!$D$38,IF(AND(C92=8,C91="L"),T!$D$39,IF(AND(C92=10,C91="L"),T!$D$40,IF(AND(C92=12,C91="L"),T!$D$41,0))))))</f>
        <v>14.2</v>
      </c>
      <c r="K90" s="135">
        <f>IF(AND(C92=2,C91="M"),T!$E$36,IF(AND(C92=4,C91="M"),T!$E$37,IF(AND(C92=6,C91="M"),T!$E$38,IF(AND(C92=8,C91="M"),T!$E$39,IF(AND(C92=10,C91="M"),T!$E$40,IF(AND(C92=12,C91="M"),T!$E$41,0))))))</f>
        <v>0</v>
      </c>
      <c r="L90" s="7">
        <f t="shared" si="40"/>
        <v>14.2</v>
      </c>
      <c r="Q90" s="45">
        <f t="shared" si="41"/>
        <v>108514.98</v>
      </c>
    </row>
    <row r="91" spans="1:17" x14ac:dyDescent="0.25">
      <c r="A91" s="95"/>
      <c r="B91" s="107" t="str">
        <f t="shared" si="45"/>
        <v>Tipo de terreno</v>
      </c>
      <c r="C91" s="94" t="str">
        <f>IF(MCI!I24=LISTA!A2,"P",IF(MCI!I24=LISTA!A3,"L",IF(MCI!I24=LISTA!A4,"M",0)))</f>
        <v>L</v>
      </c>
      <c r="D91" s="95"/>
      <c r="E91" s="99" t="str">
        <f t="shared" si="42"/>
        <v>T3S2</v>
      </c>
      <c r="F91" s="27">
        <f t="shared" si="39"/>
        <v>4.8333333333333339E-2</v>
      </c>
      <c r="G91" s="118">
        <f t="shared" si="43"/>
        <v>263.82750000000004</v>
      </c>
      <c r="H91" s="21">
        <f t="shared" si="44"/>
        <v>17729.208000000002</v>
      </c>
      <c r="I91" s="135">
        <f>IF(AND(C92=2,C91="P"),T!$C$26,IF(AND(C92=4,C91="P"),T!$C$27,IF(AND(C92=6,C91="P"),T!$C$28,IF(AND(C92=8,C91="P"),T!$C$29,IF(AND(C92=10,C91="P"),T!$C$30,IF(AND(C92=12,C91="P"),T!$C$31,0))))))</f>
        <v>0</v>
      </c>
      <c r="J91" s="135">
        <f>IF(AND(C92=2,C91="L"),T!$D$26,IF(AND(C92=4,C91="L"),T!$D$27,IF(AND(C92=6,C91="L"),T!$D$28,IF(AND(C92=8,C91="L"),T!$D$29,IF(AND(C92=10,C91="L"),T!$D$30,IF(AND(C92=12,C91="L"),T!$D$31,0))))))</f>
        <v>18.670000000000002</v>
      </c>
      <c r="K91" s="135">
        <f>IF(AND(C92=2,C91="M"),T!$E$26,IF(AND(C92=4,C91="M"),T!$E$27,IF(AND(C92=6,C91="M"),T!$E$28,IF(AND(C92=8,C91="M"),T!$E$29,IF(AND(C92=10,C91="M"),T!$E$30,IF(AND(C92=12,C91="M"),T!$E$31,0))))))</f>
        <v>0</v>
      </c>
      <c r="L91" s="7">
        <f t="shared" si="40"/>
        <v>18.670000000000002</v>
      </c>
      <c r="Q91" s="45">
        <f t="shared" si="41"/>
        <v>331004.31336000009</v>
      </c>
    </row>
    <row r="92" spans="1:17" x14ac:dyDescent="0.25">
      <c r="A92" s="95"/>
      <c r="B92" s="107" t="str">
        <f t="shared" si="45"/>
        <v>IIR</v>
      </c>
      <c r="C92" s="77">
        <f>MCI!I25</f>
        <v>2</v>
      </c>
      <c r="D92" s="95"/>
      <c r="E92" s="99" t="str">
        <f t="shared" si="42"/>
        <v xml:space="preserve"> T3S3</v>
      </c>
      <c r="F92" s="27">
        <f t="shared" si="39"/>
        <v>1.55E-2</v>
      </c>
      <c r="G92" s="118">
        <f t="shared" si="43"/>
        <v>84.606750000000005</v>
      </c>
      <c r="H92" s="21">
        <f t="shared" si="44"/>
        <v>5685.5736000000006</v>
      </c>
      <c r="I92" s="135">
        <f>IF(AND(C92=2,C91="P"),T!$C$16,IF(AND(C92=4,C91="P"),T!$C$17,IF(AND(C92=6,C91="P"),T!$C$18,IF(AND(C92=8,C91="P"),T!$C$19,IF(AND(C92=10,C91="P"),T!$C$20,IF(AND(C92=12,C91="P"),T!$C$21,0))))))</f>
        <v>0</v>
      </c>
      <c r="J92" s="135">
        <f>IF(AND(C92=2,C91="L"),T!$D$16,IF(AND(C92=4,C91="L"),T!$D$17,IF(AND(C92=6,C91="L"),T!$D$18,IF(AND(C92=8,C91="L"),T!$D$19,IF(AND(C92=10,C91="L"),T!$D$20,IF(AND(C92=12,C91="L"),T!$D$21,0))))))</f>
        <v>22.1</v>
      </c>
      <c r="K92" s="135">
        <f>IF(AND(C92=2,C91="M"),T!$E$16,IF(AND(C92=4,C91="M"),T!$E$17,IF(AND(C92=6,C91="M"),T!$E$18,IF(AND(C92=8,C91="M"),T!$E$19,IF(AND(C92=10,C91="M"),T!$E$20,IF(AND(C92=12,C91="M"),T!$E$21,0))))))</f>
        <v>0</v>
      </c>
      <c r="L92" s="7">
        <f t="shared" si="40"/>
        <v>22.1</v>
      </c>
      <c r="Q92" s="45">
        <f t="shared" si="41"/>
        <v>125651.17656000002</v>
      </c>
    </row>
    <row r="93" spans="1:17" x14ac:dyDescent="0.25">
      <c r="A93" s="95"/>
      <c r="B93" s="107" t="str">
        <f t="shared" si="45"/>
        <v>Descripción</v>
      </c>
      <c r="C93" s="104" t="str">
        <f>MCI!I22</f>
        <v>Jilotepec - Palmillas (57D)</v>
      </c>
      <c r="D93" s="95"/>
      <c r="E93" s="99" t="str">
        <f t="shared" si="42"/>
        <v xml:space="preserve"> T3S2R4</v>
      </c>
      <c r="F93" s="27">
        <f t="shared" si="39"/>
        <v>1.0166666666666666E-2</v>
      </c>
      <c r="G93" s="118">
        <f t="shared" si="43"/>
        <v>55.494749999999996</v>
      </c>
      <c r="H93" s="21">
        <f t="shared" si="44"/>
        <v>3729.2471999999998</v>
      </c>
      <c r="I93" s="135">
        <f>IF(AND(C92=2,C91="P"),T!$C$6,IF(AND(C92=4,C91="P"),T!$C$7,IF(AND(C92=6,C91="P"),T!$C$8,IF(AND(C92=8,C91="P"),T!$C$9,IF(AND(C92=10,C91="P"),T!$C$10,IF(AND(C92=12,C91="P"),T!$C$11,0))))))</f>
        <v>0</v>
      </c>
      <c r="J93" s="135">
        <f>IF(AND(C92=2,C91="L"),T!$D$6,IF(AND(C92=4,C91="L"),T!$D$7,IF(AND(C92=6,C91="L"),T!$D$8,IF(AND(C92=8,C91="L"),T!$D$9,IF(AND(C92=10,C91="L"),T!$D$10,IF(AND(C92=12,C91="L"),T!$D$11,0))))))</f>
        <v>29.48</v>
      </c>
      <c r="K93" s="135">
        <f>IF(AND(C92=2,C91="M"),T!$E$6,IF(AND(C92=4,C91="M"),T!$E$7,IF(AND(C92=6,C91="M"),T!$E$8,IF(AND(C92=8,C91="M"),T!$E$9,IF(AND(C92=10,C91="M"),T!$E$10,IF(AND(C92=12,C91="M"),T!$E$11,0))))))</f>
        <v>0</v>
      </c>
      <c r="L93" s="7">
        <f t="shared" si="40"/>
        <v>29.48</v>
      </c>
      <c r="Q93" s="45">
        <f t="shared" si="41"/>
        <v>109938.20745599999</v>
      </c>
    </row>
    <row r="94" spans="1:17" x14ac:dyDescent="0.25">
      <c r="A94" s="95"/>
      <c r="B94" s="107" t="str">
        <f t="shared" si="45"/>
        <v>TDPARP (vpd)</v>
      </c>
      <c r="C94" s="94">
        <f>C81</f>
        <v>5458.5</v>
      </c>
      <c r="D94" s="95"/>
      <c r="E94" s="99" t="str">
        <f t="shared" si="42"/>
        <v xml:space="preserve"> OTROS</v>
      </c>
      <c r="F94" s="27">
        <f t="shared" si="39"/>
        <v>3.0000000000000768E-3</v>
      </c>
      <c r="G94" s="118">
        <f t="shared" si="43"/>
        <v>16.375500000000418</v>
      </c>
      <c r="H94" s="21">
        <f t="shared" si="44"/>
        <v>1100.433600000028</v>
      </c>
      <c r="I94" s="98"/>
      <c r="J94" s="98"/>
      <c r="K94" s="98"/>
      <c r="L94" s="85">
        <f>AVERAGE(L87:L93)</f>
        <v>16.478571428571431</v>
      </c>
      <c r="Q94" s="45">
        <f t="shared" si="41"/>
        <v>18133.573680000463</v>
      </c>
    </row>
    <row r="95" spans="1:17" x14ac:dyDescent="0.25">
      <c r="A95" s="95"/>
      <c r="C95" s="95"/>
      <c r="D95" s="95"/>
      <c r="E95" s="19"/>
      <c r="F95" s="43"/>
      <c r="G95" s="19"/>
      <c r="H95" s="44"/>
      <c r="J95" s="136"/>
      <c r="K95" s="129"/>
      <c r="L95" s="102" t="s">
        <v>17</v>
      </c>
      <c r="Q95" s="103">
        <f>SUM(Q87:Q94)</f>
        <v>2491609.9667040007</v>
      </c>
    </row>
    <row r="97" spans="2:22" x14ac:dyDescent="0.25">
      <c r="E97" s="5" t="s">
        <v>272</v>
      </c>
    </row>
    <row r="99" spans="2:22" ht="15.75" x14ac:dyDescent="0.25">
      <c r="E99" s="343" t="s">
        <v>141</v>
      </c>
      <c r="F99" s="343" t="s">
        <v>69</v>
      </c>
      <c r="G99" s="343" t="s">
        <v>237</v>
      </c>
      <c r="H99" s="343" t="s">
        <v>28</v>
      </c>
      <c r="I99" s="137"/>
      <c r="J99" s="137"/>
      <c r="K99" s="137"/>
      <c r="L99" s="343" t="s">
        <v>238</v>
      </c>
      <c r="M99" s="111" t="s">
        <v>22</v>
      </c>
      <c r="N99" s="111" t="s">
        <v>23</v>
      </c>
      <c r="O99" s="111" t="s">
        <v>257</v>
      </c>
      <c r="P99" s="111" t="s">
        <v>258</v>
      </c>
      <c r="Q99" s="115" t="s">
        <v>273</v>
      </c>
      <c r="R99" s="34" t="s">
        <v>234</v>
      </c>
      <c r="S99" s="82" t="s">
        <v>146</v>
      </c>
      <c r="T99" s="82" t="s">
        <v>278</v>
      </c>
      <c r="U99" s="82" t="s">
        <v>304</v>
      </c>
      <c r="V99" s="296" t="s">
        <v>510</v>
      </c>
    </row>
    <row r="100" spans="2:22" s="95" customFormat="1" ht="15.75" x14ac:dyDescent="0.25">
      <c r="B100" s="106"/>
      <c r="E100" s="344"/>
      <c r="F100" s="344"/>
      <c r="G100" s="344"/>
      <c r="H100" s="344"/>
      <c r="I100" s="137"/>
      <c r="J100" s="137"/>
      <c r="K100" s="137"/>
      <c r="L100" s="344"/>
      <c r="M100" s="111"/>
      <c r="N100" s="111"/>
      <c r="O100" s="111"/>
      <c r="P100" s="111"/>
      <c r="Q100" s="115" t="s">
        <v>142</v>
      </c>
      <c r="R100" s="34" t="s">
        <v>274</v>
      </c>
      <c r="S100" s="82" t="s">
        <v>274</v>
      </c>
      <c r="T100" s="82" t="s">
        <v>277</v>
      </c>
      <c r="U100" s="82" t="s">
        <v>279</v>
      </c>
      <c r="V100" s="302" t="s">
        <v>530</v>
      </c>
    </row>
    <row r="101" spans="2:22" x14ac:dyDescent="0.25">
      <c r="E101" s="78" t="s">
        <v>239</v>
      </c>
      <c r="F101" s="31">
        <f>MCI!C31</f>
        <v>1</v>
      </c>
      <c r="G101" s="31">
        <f>MCI!D31</f>
        <v>2</v>
      </c>
      <c r="H101" s="31">
        <f>MCI!E31</f>
        <v>4</v>
      </c>
      <c r="L101" s="31" t="str">
        <f>MCI!F31</f>
        <v>N/A</v>
      </c>
      <c r="M101" s="112">
        <f>IF(F101=$C$11,$Q$17,IF(F101=$C$24,$Q$30,IF(F101=$C$37,$Q$43,IF(F101=$C$50,$Q$56,IF(F101=$C$63,$Q$69,IF(F101=$C$76,$Q$82,IF(F101=$C$89,$Q$95,0)))))))</f>
        <v>1780236.6149284288</v>
      </c>
      <c r="N101" s="113">
        <f>IF(G101=$C$11,$Q$17,IF(G101=$C$24,$Q$30,IF(G101=$C$37,$Q$43,IF(G101=$C$50,$Q$56,IF(G101=$C$63,$Q$69,IF(G101=$C$76,$Q$82,IF(G101=$C$89,$Q$95,0)))))))</f>
        <v>1135147.0881367505</v>
      </c>
      <c r="O101" s="113">
        <f>IF(H101=$C$11,$Q$17,IF(H101=$C$24,$Q$30,IF(H101=$C$37,$Q$43,IF(H101=$C$50,$Q$56,IF(H101=$C$63,$Q$69,IF(H101=$C$76,$Q$82,IF(H101=$C$89,$Q$95,0)))))))</f>
        <v>2491517.2313377508</v>
      </c>
      <c r="P101" s="113">
        <f>IF(L101=$C$11,$Q$17,IF(L101=$C$24,$Q$30,IF(L101=$C$37,$Q$43,IF(L101=$C$50,$Q$56,IF(L101=$C$63,$Q$69,IF(L101=$C$76,$Q$82,IF(L101=$C$89,$Q$95,0)))))))</f>
        <v>0</v>
      </c>
      <c r="Q101" s="93">
        <f>MCI!G31</f>
        <v>122.6</v>
      </c>
      <c r="R101" s="36">
        <f t="shared" ref="R101:R106" si="46">SUM(M101:P101)</f>
        <v>5406900.9344029296</v>
      </c>
      <c r="S101" s="93" t="s">
        <v>275</v>
      </c>
      <c r="T101" s="99" t="str">
        <f>S101</f>
        <v>0*</v>
      </c>
      <c r="U101" s="99" t="str">
        <f>T101</f>
        <v>0*</v>
      </c>
      <c r="V101" s="301">
        <f>R101/$R$101</f>
        <v>1</v>
      </c>
    </row>
    <row r="102" spans="2:22" x14ac:dyDescent="0.25">
      <c r="E102" s="78" t="s">
        <v>241</v>
      </c>
      <c r="F102" s="31">
        <f>MCI!C32</f>
        <v>1</v>
      </c>
      <c r="G102" s="31">
        <f>MCI!D32</f>
        <v>2</v>
      </c>
      <c r="H102" s="31">
        <f>MCI!E32</f>
        <v>6</v>
      </c>
      <c r="L102" s="31">
        <f>MCI!F32</f>
        <v>7</v>
      </c>
      <c r="M102" s="112">
        <f t="shared" ref="M102:M106" si="47">IF(F102=$C$11,$Q$17,IF(F102=$C$24,$Q$30,IF(F102=$C$37,$Q$43,IF(F102=$C$50,$Q$56,IF(F102=$C$63,$Q$69,IF(F102=$C$76,$Q$82,IF(F102=$C$89,$Q$95,0)))))))</f>
        <v>1780236.6149284288</v>
      </c>
      <c r="N102" s="113">
        <f t="shared" ref="N102:N106" si="48">IF(G102=$C$11,$Q$17,IF(G102=$C$24,$Q$30,IF(G102=$C$37,$Q$43,IF(G102=$C$50,$Q$56,IF(G102=$C$63,$Q$69,IF(G102=$C$76,$Q$82,IF(G102=$C$89,$Q$95,0)))))))</f>
        <v>1135147.0881367505</v>
      </c>
      <c r="O102" s="113">
        <f t="shared" ref="O102:O106" si="49">IF(H102=$C$11,$Q$17,IF(H102=$C$24,$Q$30,IF(H102=$C$37,$Q$43,IF(H102=$C$50,$Q$56,IF(H102=$C$63,$Q$69,IF(H102=$C$76,$Q$82,IF(H102=$C$89,$Q$95,0)))))))</f>
        <v>1533199.3754119289</v>
      </c>
      <c r="P102" s="113">
        <f t="shared" ref="P102:P106" si="50">IF(L102=$C$11,$Q$17,IF(L102=$C$24,$Q$30,IF(L102=$C$37,$Q$43,IF(L102=$C$50,$Q$56,IF(L102=$C$63,$Q$69,IF(L102=$C$76,$Q$82,IF(L102=$C$89,$Q$95,0)))))))</f>
        <v>2491609.9667040007</v>
      </c>
      <c r="Q102" s="93">
        <f>MCI!G32</f>
        <v>175</v>
      </c>
      <c r="R102" s="36">
        <f t="shared" si="46"/>
        <v>6940193.0451811086</v>
      </c>
      <c r="S102" s="23">
        <f>R102-$R$101</f>
        <v>1533292.110778179</v>
      </c>
      <c r="T102" s="23">
        <f>S102/24</f>
        <v>63887.171282424126</v>
      </c>
      <c r="U102" s="23">
        <f>T102/3600</f>
        <v>17.746436467340036</v>
      </c>
      <c r="V102" s="301">
        <f t="shared" ref="V102:V106" si="51">R102/$R$101</f>
        <v>1.283580581442167</v>
      </c>
    </row>
    <row r="103" spans="2:22" x14ac:dyDescent="0.25">
      <c r="E103" s="78" t="s">
        <v>240</v>
      </c>
      <c r="F103" s="31">
        <f>MCI!C33</f>
        <v>1</v>
      </c>
      <c r="G103" s="31">
        <f>MCI!D33</f>
        <v>3</v>
      </c>
      <c r="H103" s="31">
        <f>MCI!E33</f>
        <v>4</v>
      </c>
      <c r="L103" s="31" t="str">
        <f>MCI!F33</f>
        <v>N/A</v>
      </c>
      <c r="M103" s="112">
        <f t="shared" si="47"/>
        <v>1780236.6149284288</v>
      </c>
      <c r="N103" s="113">
        <f t="shared" si="48"/>
        <v>1077038.0610421074</v>
      </c>
      <c r="O103" s="113">
        <f t="shared" si="49"/>
        <v>2491517.2313377508</v>
      </c>
      <c r="P103" s="113">
        <f t="shared" si="50"/>
        <v>0</v>
      </c>
      <c r="Q103" s="93">
        <f>MCI!G33</f>
        <v>122.6</v>
      </c>
      <c r="R103" s="36">
        <f t="shared" si="46"/>
        <v>5348791.907308287</v>
      </c>
      <c r="S103" s="23">
        <f t="shared" ref="S103:S105" si="52">R103-$R$101</f>
        <v>-58109.027094642632</v>
      </c>
      <c r="T103" s="23">
        <f t="shared" ref="T103:T106" si="53">S103/24</f>
        <v>-2421.2094622767763</v>
      </c>
      <c r="U103" s="23">
        <f t="shared" ref="U103:U106" si="54">T103/3600</f>
        <v>-0.67255818396577116</v>
      </c>
      <c r="V103" s="301">
        <f t="shared" si="51"/>
        <v>0.98925280344514777</v>
      </c>
    </row>
    <row r="104" spans="2:22" x14ac:dyDescent="0.25">
      <c r="E104" s="78" t="s">
        <v>242</v>
      </c>
      <c r="F104" s="31">
        <f>MCI!C34</f>
        <v>1</v>
      </c>
      <c r="G104" s="31">
        <f>MCI!D34</f>
        <v>3</v>
      </c>
      <c r="H104" s="31">
        <f>MCI!E34</f>
        <v>6</v>
      </c>
      <c r="L104" s="31">
        <f>MCI!F34</f>
        <v>7</v>
      </c>
      <c r="M104" s="112">
        <f t="shared" si="47"/>
        <v>1780236.6149284288</v>
      </c>
      <c r="N104" s="113">
        <f t="shared" si="48"/>
        <v>1077038.0610421074</v>
      </c>
      <c r="O104" s="113">
        <f t="shared" si="49"/>
        <v>1533199.3754119289</v>
      </c>
      <c r="P104" s="113">
        <f t="shared" si="50"/>
        <v>2491609.9667040007</v>
      </c>
      <c r="Q104" s="93">
        <f>MCI!G34</f>
        <v>175</v>
      </c>
      <c r="R104" s="36">
        <f t="shared" si="46"/>
        <v>6882084.018086466</v>
      </c>
      <c r="S104" s="23">
        <f t="shared" si="52"/>
        <v>1475183.0836835364</v>
      </c>
      <c r="T104" s="23">
        <f t="shared" si="53"/>
        <v>61465.961820147349</v>
      </c>
      <c r="U104" s="23">
        <f t="shared" si="54"/>
        <v>17.073878283374263</v>
      </c>
      <c r="V104" s="301">
        <f t="shared" si="51"/>
        <v>1.2728333848873148</v>
      </c>
    </row>
    <row r="105" spans="2:22" x14ac:dyDescent="0.25">
      <c r="E105" s="78" t="s">
        <v>243</v>
      </c>
      <c r="F105" s="31">
        <f>MCI!C35</f>
        <v>5</v>
      </c>
      <c r="G105" s="31">
        <f>MCI!D35</f>
        <v>6</v>
      </c>
      <c r="H105" s="31">
        <f>MCI!E35</f>
        <v>4</v>
      </c>
      <c r="L105" s="31" t="str">
        <f>MCI!F35</f>
        <v>N/A</v>
      </c>
      <c r="M105" s="112">
        <f t="shared" si="47"/>
        <v>3712219.0162380007</v>
      </c>
      <c r="N105" s="113">
        <f t="shared" si="48"/>
        <v>1533199.3754119289</v>
      </c>
      <c r="O105" s="113">
        <f t="shared" si="49"/>
        <v>2491517.2313377508</v>
      </c>
      <c r="P105" s="113">
        <f t="shared" si="50"/>
        <v>0</v>
      </c>
      <c r="Q105" s="93">
        <f>MCI!G35</f>
        <v>176.1</v>
      </c>
      <c r="R105" s="36">
        <f t="shared" si="46"/>
        <v>7736935.6229876801</v>
      </c>
      <c r="S105" s="23">
        <f t="shared" si="52"/>
        <v>2330034.6885847505</v>
      </c>
      <c r="T105" s="23">
        <f t="shared" si="53"/>
        <v>97084.778691031272</v>
      </c>
      <c r="U105" s="23">
        <f t="shared" si="54"/>
        <v>26.967994080842018</v>
      </c>
      <c r="V105" s="301">
        <f t="shared" si="51"/>
        <v>1.4309371887617264</v>
      </c>
    </row>
    <row r="106" spans="2:22" x14ac:dyDescent="0.25">
      <c r="E106" s="78" t="s">
        <v>244</v>
      </c>
      <c r="F106" s="31">
        <f>MCI!C36</f>
        <v>5</v>
      </c>
      <c r="G106" s="31">
        <f>MCI!D36</f>
        <v>7</v>
      </c>
      <c r="H106" s="31" t="str">
        <f>MCI!E36</f>
        <v>N/A</v>
      </c>
      <c r="L106" s="31" t="str">
        <f>MCI!F36</f>
        <v>N/A</v>
      </c>
      <c r="M106" s="112">
        <f t="shared" si="47"/>
        <v>3712219.0162380007</v>
      </c>
      <c r="N106" s="113">
        <f t="shared" si="48"/>
        <v>2491609.9667040007</v>
      </c>
      <c r="O106" s="113">
        <f t="shared" si="49"/>
        <v>0</v>
      </c>
      <c r="P106" s="113">
        <f t="shared" si="50"/>
        <v>0</v>
      </c>
      <c r="Q106" s="93">
        <f>MCI!G36</f>
        <v>150.30000000000001</v>
      </c>
      <c r="R106" s="36">
        <f t="shared" si="46"/>
        <v>6203828.9829420019</v>
      </c>
      <c r="S106" s="23">
        <f>R106-$R$101</f>
        <v>796928.04853907228</v>
      </c>
      <c r="T106" s="23">
        <f t="shared" si="53"/>
        <v>33205.335355794676</v>
      </c>
      <c r="U106" s="23">
        <f t="shared" si="54"/>
        <v>9.2237042654985206</v>
      </c>
      <c r="V106" s="301">
        <f t="shared" si="51"/>
        <v>1.1473909099144748</v>
      </c>
    </row>
    <row r="107" spans="2:22" x14ac:dyDescent="0.25">
      <c r="E107" s="26" t="s">
        <v>76</v>
      </c>
      <c r="F107" s="5" t="s">
        <v>276</v>
      </c>
    </row>
    <row r="109" spans="2:22" x14ac:dyDescent="0.25">
      <c r="I109" s="1"/>
      <c r="J109" s="1"/>
      <c r="K109" s="1"/>
      <c r="M109" s="1"/>
      <c r="N109" s="1"/>
      <c r="O109" s="1"/>
      <c r="P109" s="1"/>
    </row>
    <row r="110" spans="2:22" x14ac:dyDescent="0.25">
      <c r="I110" s="1"/>
      <c r="J110" s="1"/>
      <c r="K110" s="1"/>
      <c r="M110" s="1"/>
      <c r="N110" s="1"/>
      <c r="O110" s="1"/>
      <c r="P110" s="1"/>
    </row>
    <row r="111" spans="2:22" x14ac:dyDescent="0.25">
      <c r="I111" s="1"/>
      <c r="J111" s="1"/>
      <c r="K111" s="1"/>
      <c r="M111" s="1"/>
      <c r="N111" s="1"/>
      <c r="O111" s="1"/>
      <c r="P111" s="1"/>
    </row>
    <row r="112" spans="2:22" x14ac:dyDescent="0.25">
      <c r="I112" s="1"/>
      <c r="J112" s="1"/>
      <c r="K112" s="1"/>
      <c r="M112" s="1"/>
      <c r="N112" s="1"/>
      <c r="O112" s="1"/>
      <c r="P112" s="1"/>
    </row>
    <row r="113" spans="9:16" x14ac:dyDescent="0.25">
      <c r="I113" s="1"/>
      <c r="J113" s="1"/>
      <c r="K113" s="1"/>
      <c r="M113" s="1"/>
      <c r="N113" s="1"/>
      <c r="O113" s="1"/>
      <c r="P113" s="1"/>
    </row>
    <row r="114" spans="9:16" x14ac:dyDescent="0.25">
      <c r="I114" s="1"/>
      <c r="J114" s="1"/>
      <c r="K114" s="1"/>
      <c r="M114" s="1"/>
      <c r="N114" s="1"/>
      <c r="O114" s="1"/>
      <c r="P114" s="1"/>
    </row>
    <row r="115" spans="9:16" x14ac:dyDescent="0.25">
      <c r="I115" s="1"/>
      <c r="J115" s="1"/>
      <c r="K115" s="1"/>
      <c r="M115" s="1"/>
      <c r="N115" s="1"/>
      <c r="O115" s="1"/>
      <c r="P115" s="1"/>
    </row>
    <row r="116" spans="9:16" x14ac:dyDescent="0.25">
      <c r="I116" s="1"/>
      <c r="J116" s="1"/>
      <c r="K116" s="1"/>
      <c r="M116" s="1"/>
      <c r="N116" s="1"/>
      <c r="O116" s="1"/>
      <c r="P116" s="1"/>
    </row>
    <row r="117" spans="9:16" x14ac:dyDescent="0.25">
      <c r="I117" s="1"/>
      <c r="J117" s="1"/>
      <c r="K117" s="1"/>
      <c r="M117" s="1"/>
      <c r="N117" s="1"/>
      <c r="O117" s="1"/>
      <c r="P117" s="1"/>
    </row>
    <row r="118" spans="9:16" x14ac:dyDescent="0.25">
      <c r="I118" s="1"/>
      <c r="J118" s="1"/>
      <c r="K118" s="1"/>
      <c r="M118" s="1"/>
      <c r="N118" s="1"/>
      <c r="O118" s="1"/>
      <c r="P118" s="1"/>
    </row>
    <row r="119" spans="9:16" x14ac:dyDescent="0.25">
      <c r="I119" s="1"/>
      <c r="J119" s="1"/>
      <c r="K119" s="1"/>
      <c r="M119" s="1"/>
      <c r="N119" s="1"/>
      <c r="O119" s="1"/>
      <c r="P119" s="1"/>
    </row>
    <row r="120" spans="9:16" x14ac:dyDescent="0.25">
      <c r="I120" s="1"/>
      <c r="J120" s="1"/>
      <c r="K120" s="1"/>
      <c r="M120" s="1"/>
      <c r="N120" s="1"/>
      <c r="O120" s="1"/>
      <c r="P120" s="1"/>
    </row>
    <row r="121" spans="9:16" x14ac:dyDescent="0.25">
      <c r="I121" s="1"/>
      <c r="J121" s="1"/>
      <c r="K121" s="1"/>
      <c r="M121" s="1"/>
      <c r="N121" s="1"/>
      <c r="O121" s="1"/>
      <c r="P121" s="1"/>
    </row>
    <row r="122" spans="9:16" x14ac:dyDescent="0.25">
      <c r="I122" s="1"/>
      <c r="J122" s="1"/>
      <c r="K122" s="1"/>
      <c r="M122" s="1"/>
      <c r="N122" s="1"/>
      <c r="O122" s="1"/>
      <c r="P122" s="1"/>
    </row>
    <row r="123" spans="9:16" x14ac:dyDescent="0.25">
      <c r="I123" s="1"/>
      <c r="J123" s="1"/>
      <c r="K123" s="1"/>
      <c r="M123" s="1"/>
      <c r="N123" s="1"/>
      <c r="O123" s="1"/>
      <c r="P123" s="1"/>
    </row>
    <row r="124" spans="9:16" x14ac:dyDescent="0.25">
      <c r="I124" s="1"/>
      <c r="J124" s="1"/>
      <c r="K124" s="1"/>
      <c r="M124" s="1"/>
      <c r="N124" s="1"/>
      <c r="O124" s="1"/>
      <c r="P124" s="1"/>
    </row>
    <row r="125" spans="9:16" x14ac:dyDescent="0.25">
      <c r="I125" s="1"/>
      <c r="J125" s="1"/>
      <c r="K125" s="1"/>
      <c r="M125" s="1"/>
      <c r="N125" s="1"/>
      <c r="O125" s="1"/>
      <c r="P125" s="1"/>
    </row>
  </sheetData>
  <mergeCells count="33">
    <mergeCell ref="E7:E8"/>
    <mergeCell ref="I6:I8"/>
    <mergeCell ref="J6:J8"/>
    <mergeCell ref="K6:K8"/>
    <mergeCell ref="I32:I34"/>
    <mergeCell ref="J32:J34"/>
    <mergeCell ref="K32:K34"/>
    <mergeCell ref="E33:E34"/>
    <mergeCell ref="I19:I21"/>
    <mergeCell ref="J19:J21"/>
    <mergeCell ref="K19:K21"/>
    <mergeCell ref="E20:E21"/>
    <mergeCell ref="E46:E47"/>
    <mergeCell ref="I58:I60"/>
    <mergeCell ref="J58:J60"/>
    <mergeCell ref="K58:K60"/>
    <mergeCell ref="E59:E60"/>
    <mergeCell ref="I45:I47"/>
    <mergeCell ref="J45:J47"/>
    <mergeCell ref="K45:K47"/>
    <mergeCell ref="I71:I73"/>
    <mergeCell ref="J71:J73"/>
    <mergeCell ref="K71:K73"/>
    <mergeCell ref="E72:E73"/>
    <mergeCell ref="I84:I86"/>
    <mergeCell ref="J84:J86"/>
    <mergeCell ref="K84:K86"/>
    <mergeCell ref="E85:E86"/>
    <mergeCell ref="E99:E100"/>
    <mergeCell ref="F99:F100"/>
    <mergeCell ref="G99:G100"/>
    <mergeCell ref="H99:H100"/>
    <mergeCell ref="L99:L100"/>
  </mergeCells>
  <pageMargins left="0.7" right="0.7" top="0.75" bottom="0.75" header="0.3" footer="0.3"/>
  <pageSetup scale="61" fitToHeight="0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>
    <pageSetUpPr fitToPage="1"/>
  </sheetPr>
  <dimension ref="B1:X153"/>
  <sheetViews>
    <sheetView zoomScale="70" zoomScaleNormal="70" workbookViewId="0">
      <selection activeCell="X144" sqref="X144"/>
    </sheetView>
  </sheetViews>
  <sheetFormatPr baseColWidth="10" defaultColWidth="11.5703125" defaultRowHeight="15" x14ac:dyDescent="0.25"/>
  <cols>
    <col min="1" max="1" width="11.5703125" style="122"/>
    <col min="2" max="2" width="11.85546875" style="106" customWidth="1"/>
    <col min="3" max="3" width="15.85546875" style="122" customWidth="1"/>
    <col min="4" max="4" width="2.140625" style="122" customWidth="1"/>
    <col min="5" max="10" width="17.28515625" style="122" customWidth="1"/>
    <col min="11" max="14" width="17.28515625" style="122" hidden="1" customWidth="1"/>
    <col min="15" max="19" width="18.7109375" style="122" customWidth="1"/>
    <col min="20" max="25" width="18.42578125" style="122" customWidth="1"/>
    <col min="26" max="16384" width="11.5703125" style="122"/>
  </cols>
  <sheetData>
    <row r="1" spans="2:18" x14ac:dyDescent="0.25">
      <c r="B1" s="105" t="s">
        <v>34</v>
      </c>
    </row>
    <row r="2" spans="2:18" x14ac:dyDescent="0.25">
      <c r="B2" s="55" t="s">
        <v>317</v>
      </c>
    </row>
    <row r="3" spans="2:18" x14ac:dyDescent="0.25">
      <c r="E3" s="5"/>
    </row>
    <row r="4" spans="2:18" x14ac:dyDescent="0.25">
      <c r="E4" s="118" t="s">
        <v>19</v>
      </c>
      <c r="F4" s="82" t="s">
        <v>24</v>
      </c>
      <c r="G4" s="82" t="s">
        <v>41</v>
      </c>
      <c r="H4" s="82" t="s">
        <v>290</v>
      </c>
      <c r="I4" s="82" t="s">
        <v>20</v>
      </c>
      <c r="J4" s="119" t="s">
        <v>36</v>
      </c>
      <c r="K4" s="118"/>
      <c r="L4" s="118"/>
      <c r="M4" s="118"/>
      <c r="O4" s="119" t="s">
        <v>21</v>
      </c>
      <c r="P4" s="82" t="s">
        <v>292</v>
      </c>
      <c r="Q4" s="82" t="s">
        <v>77</v>
      </c>
      <c r="R4" s="82" t="s">
        <v>42</v>
      </c>
    </row>
    <row r="5" spans="2:18" x14ac:dyDescent="0.25">
      <c r="E5" s="352" t="s">
        <v>1</v>
      </c>
      <c r="F5" s="118" t="s">
        <v>6</v>
      </c>
      <c r="G5" s="142" t="s">
        <v>309</v>
      </c>
      <c r="H5" s="142" t="str">
        <f>G5</f>
        <v>(persona/veh)</v>
      </c>
      <c r="I5" s="118" t="s">
        <v>7</v>
      </c>
      <c r="J5" s="118" t="s">
        <v>142</v>
      </c>
      <c r="K5" s="118"/>
      <c r="L5" s="118"/>
      <c r="M5" s="118"/>
      <c r="O5" s="118" t="s">
        <v>8</v>
      </c>
      <c r="P5" s="118" t="s">
        <v>11</v>
      </c>
      <c r="Q5" s="118" t="s">
        <v>287</v>
      </c>
      <c r="R5" s="118" t="s">
        <v>9</v>
      </c>
    </row>
    <row r="6" spans="2:18" ht="75" x14ac:dyDescent="0.25">
      <c r="E6" s="352"/>
      <c r="F6" s="116" t="s">
        <v>5</v>
      </c>
      <c r="G6" s="116" t="s">
        <v>112</v>
      </c>
      <c r="H6" s="116" t="s">
        <v>289</v>
      </c>
      <c r="I6" s="116" t="s">
        <v>3</v>
      </c>
      <c r="J6" s="116" t="s">
        <v>143</v>
      </c>
      <c r="K6" s="118"/>
      <c r="L6" s="118"/>
      <c r="M6" s="118"/>
      <c r="O6" s="116" t="s">
        <v>4</v>
      </c>
      <c r="P6" s="116" t="s">
        <v>10</v>
      </c>
      <c r="Q6" s="116" t="s">
        <v>288</v>
      </c>
      <c r="R6" s="116" t="s">
        <v>12</v>
      </c>
    </row>
    <row r="7" spans="2:18" x14ac:dyDescent="0.25">
      <c r="E7" s="118" t="str">
        <f>MCI!B42</f>
        <v>A</v>
      </c>
      <c r="F7" s="27">
        <f>MCI!J42</f>
        <v>0.79800000000000004</v>
      </c>
      <c r="G7" s="121">
        <f>MCI!E121</f>
        <v>2.2799999999999998</v>
      </c>
      <c r="H7" s="121">
        <f>G7-1</f>
        <v>1.2799999999999998</v>
      </c>
      <c r="I7" s="118">
        <f>F7*$C$14</f>
        <v>4355.8829999999998</v>
      </c>
      <c r="J7" s="21">
        <f>I7*$C$10/1000</f>
        <v>197757.0882</v>
      </c>
      <c r="K7" s="135">
        <f>IF(AND(C12=2,C11="P"),T!$I$66,IF(AND(C12=4,C11="P"),T!$I$67,IF(AND(C12=6,C11="P"),T!$I$68,IF(AND(C12=8,C11="P"),T!$I$69,IF(AND(C12=10,C11="P"),T!$I$70,IF(AND(C12=12,C11="P"),T!$I$71,0))))))</f>
        <v>0</v>
      </c>
      <c r="L7" s="135">
        <f>IF(AND(C12=2,C11="L"),T!$J$66,IF(AND(C12=4,C11="L"),T!$J$67,IF(AND(C12=6,C11="L"),T!$J$68,IF(AND(C12=8,C11="L"),T!$J$69,IF(AND(C12=10,C11="L"),T!$J$70,IF(AND(C12=12,C11="L"),T!$J$71,0))))))</f>
        <v>65.94</v>
      </c>
      <c r="M7" s="135">
        <f>IF(AND(C12=2,C11="M"),T!$K$66,IF(AND(C12=4,C11="M"),T!$K$67,IF(AND(C12=6,C11="M"),T!$K$68,IF(AND(C12=8,C11="M"),T!$K$69,IF(AND(C12=10,C11="M"),T!$K$70,IF(AND(C12=12,C11="M"),T!$K$71,0))))))</f>
        <v>0</v>
      </c>
      <c r="O7" s="118">
        <f t="shared" ref="O7:O13" si="0">SUM(K7:M7)</f>
        <v>65.94</v>
      </c>
      <c r="P7" s="7">
        <f t="shared" ref="P7:P14" si="1">C$10*3600/(O7*1000)</f>
        <v>2478.6169244767971</v>
      </c>
      <c r="Q7" s="7">
        <f t="shared" ref="Q7:Q14" si="2">P7*I7</f>
        <v>10796565.324840764</v>
      </c>
      <c r="R7" s="118">
        <f t="shared" ref="R7:R14" si="3">Q7*H7</f>
        <v>13819603.615796175</v>
      </c>
    </row>
    <row r="8" spans="2:18" x14ac:dyDescent="0.25">
      <c r="B8" s="122"/>
      <c r="E8" s="118" t="str">
        <f>MCI!B43</f>
        <v xml:space="preserve"> B</v>
      </c>
      <c r="F8" s="27">
        <f>MCI!J43</f>
        <v>3.4000000000000002E-2</v>
      </c>
      <c r="G8" s="121">
        <f>MCI!E122</f>
        <v>12.81</v>
      </c>
      <c r="H8" s="121">
        <f t="shared" ref="H8:H14" si="4">G8-1</f>
        <v>11.81</v>
      </c>
      <c r="I8" s="118">
        <f t="shared" ref="I8:I14" si="5">F8*$C$14</f>
        <v>185.58900000000003</v>
      </c>
      <c r="J8" s="21">
        <f t="shared" ref="J8:J14" si="6">I8*$C$10/1000</f>
        <v>8425.740600000001</v>
      </c>
      <c r="K8" s="135">
        <f>IF(AND(C12=2,C11="P"),T!$I$56,IF(AND(C12=4,C11="P"),T!$I$57,IF(AND(C12=6,C11="P"),T!$I$58,IF(AND(C12=8,C11="P"),T!$I$59,IF(AND(C12=10,C11="P"),T!$I$60,IF(AND(C12=12,C11="P"),T!$I$61,0))))))</f>
        <v>0</v>
      </c>
      <c r="L8" s="135">
        <f>IF(AND(C12=2,C11="L"),T!$J$56,IF(AND(C12=4,C11="L"),T!$J$57,IF(AND(C12=6,C11="L"),T!$J$58,IF(AND(C12=8,C11="L"),T!$J$59,IF(AND(C12=10,C11="L"),T!$J$60,IF(AND(C12=12,C11="L"),T!$J$61,0))))))</f>
        <v>62.12</v>
      </c>
      <c r="M8" s="135">
        <f>IF(AND(C12=2,C11="M"),T!$K$56,IF(AND(C12=4,C11="M"),T!$K$57,IF(AND(C12=6,C11="M"),T!$K$58,IF(AND(C12=8,C11="M"),T!$K$59,IF(AND(C12=10,C11="M"),T!$K$60,IF(AND(C12=12,C11="M"),T!$K$61,0))))))</f>
        <v>0</v>
      </c>
      <c r="O8" s="118">
        <f t="shared" si="0"/>
        <v>62.12</v>
      </c>
      <c r="P8" s="7">
        <f t="shared" si="1"/>
        <v>2631.0367031551837</v>
      </c>
      <c r="Q8" s="7">
        <f t="shared" si="2"/>
        <v>488291.47070186742</v>
      </c>
      <c r="R8" s="118">
        <f t="shared" si="3"/>
        <v>5766722.2689890545</v>
      </c>
    </row>
    <row r="9" spans="2:18" x14ac:dyDescent="0.25">
      <c r="B9" s="107" t="str">
        <f>MCI!$B$21</f>
        <v>Tramo</v>
      </c>
      <c r="C9" s="121">
        <f>MCI!C21</f>
        <v>1</v>
      </c>
      <c r="E9" s="118" t="str">
        <f>MCI!B44</f>
        <v>C2</v>
      </c>
      <c r="F9" s="27">
        <f>MCI!J44</f>
        <v>7.0166666666666669E-2</v>
      </c>
      <c r="G9" s="121">
        <f>MCI!E123</f>
        <v>1.37</v>
      </c>
      <c r="H9" s="121">
        <f t="shared" si="4"/>
        <v>0.37000000000000011</v>
      </c>
      <c r="I9" s="118">
        <f t="shared" si="5"/>
        <v>383.00475</v>
      </c>
      <c r="J9" s="21">
        <f t="shared" si="6"/>
        <v>17388.415649999999</v>
      </c>
      <c r="K9" s="135">
        <f>IF(AND(C12=2,C11="P"),T!$I$46,IF(AND(C12=4,C11="P"),T!$I$47,IF(AND(C12=6,C11="P"),T!$I$48,IF(AND(C12=8,C11="P"),T!$I$49,IF(AND(C12=10,C11="P"),T!$I$50,IF(AND(C12=12,C11="P"),T!$I$51,0))))))</f>
        <v>0</v>
      </c>
      <c r="L9" s="135">
        <f>IF(AND(C12=2,C11="L"),T!$J$46,IF(AND(C12=4,C11="L"),T!$J$47,IF(AND(C12=6,C11="L"),T!$J$48,IF(AND(C12=8,C11="L"),T!$J$49,IF(AND(C12=10,C11="L"),T!$J$50,IF(AND(C12=12,C11="L"),T!$J$51,0))))))</f>
        <v>53.77</v>
      </c>
      <c r="M9" s="135">
        <f>IF(AND(C12=2,C11="M"),T!$K$46,IF(AND(C12=4,C11="M"),T!$K$47,IF(AND(C12=6,C11="M"),T!$K$48,IF(AND(C12=8,C11="M"),T!$K$49,IF(AND(C12=10,C11="M"),T!$K$50,IF(AND(C12=12,C11="M"),T!$K$51,0))))))</f>
        <v>0</v>
      </c>
      <c r="O9" s="118">
        <f t="shared" si="0"/>
        <v>53.77</v>
      </c>
      <c r="P9" s="7">
        <f t="shared" si="1"/>
        <v>3039.6131671936023</v>
      </c>
      <c r="Q9" s="7">
        <f t="shared" si="2"/>
        <v>1164186.2811976939</v>
      </c>
      <c r="R9" s="118">
        <f t="shared" si="3"/>
        <v>430748.92404314689</v>
      </c>
    </row>
    <row r="10" spans="2:18" ht="14.45" customHeight="1" x14ac:dyDescent="0.25">
      <c r="B10" s="108" t="s">
        <v>263</v>
      </c>
      <c r="C10" s="76">
        <f>MCI!C23</f>
        <v>45400</v>
      </c>
      <c r="E10" s="118" t="str">
        <f>MCI!B45</f>
        <v>C3</v>
      </c>
      <c r="F10" s="27">
        <f>MCI!J45</f>
        <v>2.0833333333333332E-2</v>
      </c>
      <c r="G10" s="121">
        <f>MCI!E124</f>
        <v>1.23</v>
      </c>
      <c r="H10" s="121">
        <f t="shared" si="4"/>
        <v>0.22999999999999998</v>
      </c>
      <c r="I10" s="118">
        <f t="shared" si="5"/>
        <v>113.71875</v>
      </c>
      <c r="J10" s="21">
        <f t="shared" si="6"/>
        <v>5162.8312500000002</v>
      </c>
      <c r="K10" s="135">
        <f>IF(AND(C12=2,C11="P"),T!$I$36,IF(AND(C12=4,C11="P"),T!$I$37,IF(AND(C12=6,C11="P"),T!$I$38,IF(AND(C12=8,C11="P"),T!$I$39,IF(AND(C12=10,C11="P"),T!$I$40,IF(AND(C12=12,C11="P"),T!$I$41,0))))))</f>
        <v>0</v>
      </c>
      <c r="L10" s="135">
        <f>IF(AND(C12=2,C11="L"),T!$J$36,IF(AND(C12=4,C11="L"),T!$J$37,IF(AND(C12=6,C11="L"),T!$J$38,IF(AND(C12=8,C11="L"),T!$J$39,IF(AND(C12=10,C11="L"),T!$J$40,IF(AND(C12=12,C11="L"),T!$J$41,0))))))</f>
        <v>46.26</v>
      </c>
      <c r="M10" s="135">
        <f>IF(AND(C12=2,C11="M"),T!$K$36,IF(AND(C12=4,C11="M"),T!$K$37,IF(AND(C12=6,C11="M"),T!$K$38,IF(AND(C12=8,C11="M"),T!$K$39,IF(AND(C12=10,C11="M"),T!$K$40,IF(AND(C12=12,C11="M"),T!$K$41,0))))))</f>
        <v>0</v>
      </c>
      <c r="O10" s="118">
        <f t="shared" si="0"/>
        <v>46.26</v>
      </c>
      <c r="P10" s="7">
        <f t="shared" si="1"/>
        <v>3533.0739299610896</v>
      </c>
      <c r="Q10" s="7">
        <f t="shared" si="2"/>
        <v>401776.75097276265</v>
      </c>
      <c r="R10" s="118">
        <f t="shared" si="3"/>
        <v>92408.652723735402</v>
      </c>
    </row>
    <row r="11" spans="2:18" x14ac:dyDescent="0.25">
      <c r="B11" s="108" t="str">
        <f>MCI!$B$24</f>
        <v>Tipo de terreno</v>
      </c>
      <c r="C11" s="121" t="str">
        <f>IF(MCI!C24=LISTA!A2,"P",IF(MCI!C24=LISTA!A3,"L",IF(MCI!C24=LISTA!A4,"M",0)))</f>
        <v>L</v>
      </c>
      <c r="E11" s="118" t="str">
        <f>MCI!B46</f>
        <v>T3S2</v>
      </c>
      <c r="F11" s="27">
        <f>MCI!J46</f>
        <v>4.8333333333333339E-2</v>
      </c>
      <c r="G11" s="121">
        <f>MCI!E125</f>
        <v>1.1399999999999999</v>
      </c>
      <c r="H11" s="121">
        <f t="shared" si="4"/>
        <v>0.1399999999999999</v>
      </c>
      <c r="I11" s="118">
        <f t="shared" si="5"/>
        <v>263.82750000000004</v>
      </c>
      <c r="J11" s="21">
        <f t="shared" si="6"/>
        <v>11977.768500000002</v>
      </c>
      <c r="K11" s="135">
        <f>IF(AND(C12=2,C11="P"),T!$I$26,IF(AND(C12=4,C11="P"),T!$I$27,IF(AND(C12=6,C11="P"),T!$I$28,IF(AND(C12=8,C11="P"),T!$I$29,IF(AND(C12=10,C11="P"),T!$I$30,IF(AND(C12=12,C11="P"),T!$I$31,0))))))</f>
        <v>0</v>
      </c>
      <c r="L11" s="135">
        <f>IF(AND(C12=2,C11="L"),T!$J$26,IF(AND(C12=4,C11="L"),T!$J$27,IF(AND(C12=6,C11="L"),T!$J$28,IF(AND(C12=8,C11="L"),T!$J$29,IF(AND(C12=10,C11="L"),T!$J$30,IF(AND(C12=12,C11="L"),T!$J$31,0))))))</f>
        <v>50.12</v>
      </c>
      <c r="M11" s="135">
        <f>IF(AND(C12=2,C11="M"),T!$K$26,IF(AND(C12=4,C11="M"),T!$K$27,IF(AND(C12=6,C11="M"),T!$K$28,IF(AND(C12=8,C11="M"),T!$K$29,IF(AND(C12=10,C11="M"),T!$K$30,IF(AND(C12=12,C11="M"),T!$K$31,0))))))</f>
        <v>0</v>
      </c>
      <c r="O11" s="118">
        <f t="shared" si="0"/>
        <v>50.12</v>
      </c>
      <c r="P11" s="7">
        <f t="shared" si="1"/>
        <v>3260.9736632083</v>
      </c>
      <c r="Q11" s="7">
        <f t="shared" si="2"/>
        <v>860334.52913008793</v>
      </c>
      <c r="R11" s="118">
        <f t="shared" si="3"/>
        <v>120446.83407821222</v>
      </c>
    </row>
    <row r="12" spans="2:18" x14ac:dyDescent="0.25">
      <c r="B12" s="108" t="str">
        <f>MCI!$B$25</f>
        <v>IIR</v>
      </c>
      <c r="C12" s="77">
        <f>IF(MCI!C25=LISTA!D2,2,IF(MCI!C25=LISTA!D3,4,IF(MCI!C25=LISTA!D4,6,IF(MCI!C25=LISTA!D5,8,IF(MCI!C25=LISTA!D6,10,IF(MCI!C25=LISTA!D7,12,0))))))</f>
        <v>4</v>
      </c>
      <c r="D12" s="3"/>
      <c r="E12" s="118" t="str">
        <f>MCI!B47</f>
        <v xml:space="preserve"> T3S3</v>
      </c>
      <c r="F12" s="27">
        <f>MCI!J47</f>
        <v>1.55E-2</v>
      </c>
      <c r="G12" s="121">
        <f>MCI!E126</f>
        <v>1.1399999999999999</v>
      </c>
      <c r="H12" s="121">
        <f t="shared" si="4"/>
        <v>0.1399999999999999</v>
      </c>
      <c r="I12" s="118">
        <f t="shared" si="5"/>
        <v>84.606750000000005</v>
      </c>
      <c r="J12" s="21">
        <f t="shared" si="6"/>
        <v>3841.1464500000002</v>
      </c>
      <c r="K12" s="135">
        <f>IF(AND(C12=2,C11="P"),T!$I$16,IF(AND(C12=4,C11="P"),T!$I$17,IF(AND(C12=6,C11="P"),T!$I$18,IF(AND(C12=8,C11="P"),T!$I$19,IF(AND(C12=10,C11="P"),T!$I$20,IF(AND(C12=12,C11="P"),T!$I$21,0))))))</f>
        <v>0</v>
      </c>
      <c r="L12" s="135">
        <f>IF(AND(C12=2,C11="L"),T!$J$16,IF(AND(C12=4,C11="L"),T!$J$17,IF(AND(C12=6,C11="L"),T!$J$18,IF(AND(C12=8,C11="L"),T!$J$19,IF(AND(C12=10,C11="L"),T!$J$20,IF(AND(C12=12,C11="L"),T!$J$21,0))))))</f>
        <v>43.36</v>
      </c>
      <c r="M12" s="135">
        <f>IF(AND(C12=2,C11="M"),T!$K$16,IF(AND(C12=4,C11="M"),T!$K$17,IF(AND(C12=6,C11="M"),T!$K$18,IF(AND(C12=8,C11="M"),T!$K$19,IF(AND(C12=10,C11="M"),T!$K$20,IF(AND(C12=12,C11="M"),T!$K$21,0))))))</f>
        <v>0</v>
      </c>
      <c r="O12" s="118">
        <f t="shared" si="0"/>
        <v>43.36</v>
      </c>
      <c r="P12" s="7">
        <f t="shared" si="1"/>
        <v>3769.3726937269371</v>
      </c>
      <c r="Q12" s="7">
        <f t="shared" si="2"/>
        <v>318914.37315498153</v>
      </c>
      <c r="R12" s="118">
        <f t="shared" si="3"/>
        <v>44648.012241697383</v>
      </c>
    </row>
    <row r="13" spans="2:18" x14ac:dyDescent="0.25">
      <c r="B13" s="108" t="str">
        <f>MCI!$B$22</f>
        <v>Descripción</v>
      </c>
      <c r="C13" s="104" t="str">
        <f>MCI!C22</f>
        <v>Toluca - Atlacomulco (57)</v>
      </c>
      <c r="D13" s="3"/>
      <c r="E13" s="118" t="str">
        <f>MCI!B48</f>
        <v xml:space="preserve"> T3S2R4</v>
      </c>
      <c r="F13" s="27">
        <f>MCI!J48</f>
        <v>1.0166666666666666E-2</v>
      </c>
      <c r="G13" s="121">
        <f>MCI!E127</f>
        <v>1.0900000000000001</v>
      </c>
      <c r="H13" s="121">
        <f t="shared" si="4"/>
        <v>9.000000000000008E-2</v>
      </c>
      <c r="I13" s="118">
        <f t="shared" si="5"/>
        <v>55.494749999999996</v>
      </c>
      <c r="J13" s="21">
        <f t="shared" si="6"/>
        <v>2519.4616499999997</v>
      </c>
      <c r="K13" s="135">
        <f>IF(AND(C12=2,C11="P"),T!$I$6,IF(AND(C12=4,C11="P"),T!$I$7,IF(AND(C12=6,C11="P"),T!$I$8,IF(AND(C12=8,C11="P"),T!$I$9,IF(AND(C12=10,C11="P"),T!$I$10,IF(AND(C12=12,C11="P"),T!$I$11,0))))))</f>
        <v>0</v>
      </c>
      <c r="L13" s="135">
        <f>IF(AND(C12=2,C11="L"),T!$J$6,IF(AND(C12=4,C11="L"),T!$J$7,IF(AND(C12=6,C11="L"),T!$J$8,IF(AND(C12=8,C11="L"),T!$J$9,IF(AND(C12=10,C11="L"),T!$J$10,IF(AND(C12=12,C11="L"),T!$J$11,0))))))</f>
        <v>34</v>
      </c>
      <c r="M13" s="135">
        <f>IF(AND(C12=2,C11="M"),T!$K$6,IF(AND(C12=4,C11="M"),T!$K$7,IF(AND(C12=6,C11="M"),T!$K$8,IF(AND(C12=8,C11="M"),T!$K$9,IF(AND(C12=10,C11="M"),T!$K$10,IF(AND(C12=12,C11="M"),T!$K$11,0))))))</f>
        <v>0</v>
      </c>
      <c r="O13" s="118">
        <f t="shared" si="0"/>
        <v>34</v>
      </c>
      <c r="P13" s="7">
        <f t="shared" si="1"/>
        <v>4807.0588235294117</v>
      </c>
      <c r="Q13" s="7">
        <f t="shared" si="2"/>
        <v>266766.52764705883</v>
      </c>
      <c r="R13" s="118">
        <f t="shared" si="3"/>
        <v>24008.987488235314</v>
      </c>
    </row>
    <row r="14" spans="2:18" x14ac:dyDescent="0.25">
      <c r="B14" s="108" t="s">
        <v>262</v>
      </c>
      <c r="C14" s="121">
        <f>MCI!C58</f>
        <v>5458.5</v>
      </c>
      <c r="E14" s="118" t="str">
        <f>MCI!B49</f>
        <v xml:space="preserve"> OTROS</v>
      </c>
      <c r="F14" s="27">
        <f>MCI!J49</f>
        <v>3.0000000000000768E-3</v>
      </c>
      <c r="G14" s="121">
        <f>MCI!E128</f>
        <v>1.0900000000000001</v>
      </c>
      <c r="H14" s="121">
        <f t="shared" si="4"/>
        <v>9.000000000000008E-2</v>
      </c>
      <c r="I14" s="118">
        <f t="shared" si="5"/>
        <v>16.375500000000418</v>
      </c>
      <c r="J14" s="21">
        <f t="shared" si="6"/>
        <v>743.44770000001893</v>
      </c>
      <c r="K14" s="118"/>
      <c r="L14" s="118"/>
      <c r="M14" s="118"/>
      <c r="O14" s="140">
        <f>AVERAGE(O7:O13)</f>
        <v>50.795714285714283</v>
      </c>
      <c r="P14" s="7">
        <f t="shared" si="1"/>
        <v>3217.5942852321627</v>
      </c>
      <c r="Q14" s="7">
        <f t="shared" si="2"/>
        <v>52689.715217820623</v>
      </c>
      <c r="R14" s="118">
        <f t="shared" si="3"/>
        <v>4742.0743696038608</v>
      </c>
    </row>
    <row r="15" spans="2:18" x14ac:dyDescent="0.25">
      <c r="E15" s="19"/>
      <c r="F15" s="43"/>
      <c r="G15" s="43"/>
      <c r="H15" s="43"/>
      <c r="I15" s="19"/>
      <c r="J15" s="44"/>
      <c r="Q15" s="82" t="s">
        <v>17</v>
      </c>
      <c r="R15" s="118">
        <f>SUM(R7:R14)</f>
        <v>20303329.369729865</v>
      </c>
    </row>
    <row r="17" spans="2:18" x14ac:dyDescent="0.25">
      <c r="E17" s="118" t="s">
        <v>19</v>
      </c>
      <c r="F17" s="82" t="s">
        <v>24</v>
      </c>
      <c r="G17" s="82" t="s">
        <v>41</v>
      </c>
      <c r="H17" s="82" t="s">
        <v>290</v>
      </c>
      <c r="I17" s="82" t="s">
        <v>20</v>
      </c>
      <c r="J17" s="119" t="s">
        <v>36</v>
      </c>
      <c r="K17" s="118"/>
      <c r="L17" s="118"/>
      <c r="M17" s="118"/>
      <c r="O17" s="119" t="s">
        <v>21</v>
      </c>
      <c r="P17" s="82" t="s">
        <v>292</v>
      </c>
      <c r="Q17" s="82" t="s">
        <v>77</v>
      </c>
      <c r="R17" s="82" t="s">
        <v>42</v>
      </c>
    </row>
    <row r="18" spans="2:18" x14ac:dyDescent="0.25">
      <c r="E18" s="352" t="s">
        <v>1</v>
      </c>
      <c r="F18" s="118" t="s">
        <v>6</v>
      </c>
      <c r="G18" s="142" t="str">
        <f>G5</f>
        <v>(persona/veh)</v>
      </c>
      <c r="H18" s="142" t="str">
        <f>G18</f>
        <v>(persona/veh)</v>
      </c>
      <c r="I18" s="118" t="s">
        <v>7</v>
      </c>
      <c r="J18" s="118" t="s">
        <v>142</v>
      </c>
      <c r="K18" s="118"/>
      <c r="L18" s="118"/>
      <c r="M18" s="118"/>
      <c r="O18" s="118" t="s">
        <v>8</v>
      </c>
      <c r="P18" s="118" t="s">
        <v>11</v>
      </c>
      <c r="Q18" s="118" t="s">
        <v>287</v>
      </c>
      <c r="R18" s="118" t="s">
        <v>9</v>
      </c>
    </row>
    <row r="19" spans="2:18" ht="75" x14ac:dyDescent="0.25">
      <c r="E19" s="352"/>
      <c r="F19" s="116" t="s">
        <v>5</v>
      </c>
      <c r="G19" s="116" t="s">
        <v>112</v>
      </c>
      <c r="H19" s="116" t="s">
        <v>289</v>
      </c>
      <c r="I19" s="116" t="s">
        <v>3</v>
      </c>
      <c r="J19" s="116" t="s">
        <v>143</v>
      </c>
      <c r="K19" s="118"/>
      <c r="L19" s="118"/>
      <c r="M19" s="118"/>
      <c r="O19" s="116" t="s">
        <v>4</v>
      </c>
      <c r="P19" s="116" t="s">
        <v>10</v>
      </c>
      <c r="Q19" s="116" t="s">
        <v>288</v>
      </c>
      <c r="R19" s="116" t="s">
        <v>12</v>
      </c>
    </row>
    <row r="20" spans="2:18" x14ac:dyDescent="0.25">
      <c r="E20" s="118" t="str">
        <f>E7</f>
        <v>A</v>
      </c>
      <c r="F20" s="27">
        <f t="shared" ref="F20:G27" si="7">F7</f>
        <v>0.79800000000000004</v>
      </c>
      <c r="G20" s="121">
        <f>G7</f>
        <v>2.2799999999999998</v>
      </c>
      <c r="H20" s="121">
        <f>G20-1</f>
        <v>1.2799999999999998</v>
      </c>
      <c r="I20" s="118">
        <f>F20*$C$27</f>
        <v>4355.8829999999998</v>
      </c>
      <c r="J20" s="21">
        <f>I20*$C$23/1000</f>
        <v>101492.07389999999</v>
      </c>
      <c r="K20" s="135">
        <f>IF(AND(C25=2,C24="P"),T!$I$66,IF(AND(C25=4,C24="P"),T!$I$67,IF(AND(C25=6,C24="P"),T!$I$68,IF(AND(C25=8,C24="P"),T!$I$69,IF(AND(C25=10,C24="P"),T!$I$70,IF(AND(C25=12,C24="P"),T!$I$71,0))))))</f>
        <v>0</v>
      </c>
      <c r="L20" s="135">
        <f>IF(AND(C25=2,C24="L"),T!$J$66,IF(AND(C25=4,C24="L"),T!$J$67,IF(AND(C25=6,C24="L"),T!$J$68,IF(AND(C25=8,C24="L"),T!$J$69,IF(AND(C25=10,C24="L"),T!$J$70,IF(AND(C25=12,C24="L"),T!$J$71,0))))))</f>
        <v>0</v>
      </c>
      <c r="M20" s="135">
        <f>IF(AND(C25=2,C24="M"),T!$K$66,IF(AND(C25=4,C24="M"),T!$K$67,IF(AND(C25=6,C24="M"),T!$K$68,IF(AND(C25=8,C24="M"),T!$K$69,IF(AND(C25=10,C24="M"),T!$K$70,IF(AND(C25=12,C24="M"),T!$K$71,0))))))</f>
        <v>50.76</v>
      </c>
      <c r="O20" s="118">
        <f t="shared" ref="O20:O26" si="8">SUM(K20:M20)</f>
        <v>50.76</v>
      </c>
      <c r="P20" s="7">
        <f t="shared" ref="P20:P27" si="9">C$23*3600/(O20*1000)</f>
        <v>1652.4822695035461</v>
      </c>
      <c r="Q20" s="7">
        <f t="shared" ref="Q20:Q27" si="10">P20*I20</f>
        <v>7198019.4255319145</v>
      </c>
      <c r="R20" s="118">
        <f t="shared" ref="R20:R27" si="11">Q20*H20</f>
        <v>9213464.864680849</v>
      </c>
    </row>
    <row r="21" spans="2:18" x14ac:dyDescent="0.25">
      <c r="E21" s="118" t="str">
        <f t="shared" ref="E21:E27" si="12">E8</f>
        <v xml:space="preserve"> B</v>
      </c>
      <c r="F21" s="27">
        <f t="shared" si="7"/>
        <v>3.4000000000000002E-2</v>
      </c>
      <c r="G21" s="121">
        <f t="shared" si="7"/>
        <v>12.81</v>
      </c>
      <c r="H21" s="121">
        <f t="shared" ref="H21:H27" si="13">G21-1</f>
        <v>11.81</v>
      </c>
      <c r="I21" s="118">
        <f t="shared" ref="I21:I26" si="14">F21*$C$27</f>
        <v>185.58900000000003</v>
      </c>
      <c r="J21" s="21">
        <f t="shared" ref="J21:J27" si="15">I21*$C$23/1000</f>
        <v>4324.2237000000005</v>
      </c>
      <c r="K21" s="135">
        <f>IF(AND(C25=2,C24="P"),T!$I$56,IF(AND(C25=4,C24="P"),T!$I$57,IF(AND(C25=6,C24="P"),T!$I$58,IF(AND(C25=8,C24="P"),T!$I$59,IF(AND(C25=10,C24="P"),T!$I$60,IF(AND(C25=12,C24="P"),T!$I$61,0))))))</f>
        <v>0</v>
      </c>
      <c r="L21" s="135">
        <f>IF(AND(C25=2,C24="L"),T!$J$56,IF(AND(C25=4,C24="L"),T!$J$57,IF(AND(C25=6,C24="L"),T!$J$58,IF(AND(C25=8,C24="L"),T!$J$59,IF(AND(C25=10,C24="L"),T!$J$60,IF(AND(C25=12,C24="L"),T!$J$61,0))))))</f>
        <v>0</v>
      </c>
      <c r="M21" s="135">
        <f>IF(AND(C25=2,C24="M"),T!$K$56,IF(AND(C25=4,C24="M"),T!$K$57,IF(AND(C25=6,C24="M"),T!$K$58,IF(AND(C25=8,C24="M"),T!$K$59,IF(AND(C25=10,C24="M"),T!$K$60,IF(AND(C25=12,C24="M"),T!$K$61,0))))))</f>
        <v>46.94</v>
      </c>
      <c r="O21" s="118">
        <f t="shared" si="8"/>
        <v>46.94</v>
      </c>
      <c r="P21" s="7">
        <f t="shared" si="9"/>
        <v>1786.9620792501066</v>
      </c>
      <c r="Q21" s="7">
        <f t="shared" si="10"/>
        <v>331640.50532594806</v>
      </c>
      <c r="R21" s="118">
        <f t="shared" si="11"/>
        <v>3916674.3678994467</v>
      </c>
    </row>
    <row r="22" spans="2:18" x14ac:dyDescent="0.25">
      <c r="B22" s="107" t="str">
        <f t="shared" ref="B22:B27" si="16">B9</f>
        <v>Tramo</v>
      </c>
      <c r="C22" s="118">
        <f>MCI!D21</f>
        <v>2</v>
      </c>
      <c r="E22" s="118" t="str">
        <f t="shared" si="12"/>
        <v>C2</v>
      </c>
      <c r="F22" s="27">
        <f t="shared" si="7"/>
        <v>7.0166666666666669E-2</v>
      </c>
      <c r="G22" s="121">
        <f t="shared" si="7"/>
        <v>1.37</v>
      </c>
      <c r="H22" s="121">
        <f t="shared" si="13"/>
        <v>0.37000000000000011</v>
      </c>
      <c r="I22" s="118">
        <f t="shared" si="14"/>
        <v>383.00475</v>
      </c>
      <c r="J22" s="21">
        <f t="shared" si="15"/>
        <v>8924.0106750000014</v>
      </c>
      <c r="K22" s="135">
        <f>IF(AND(C25=2,C24="P"),T!$I$46,IF(AND(C25=4,C24="P"),T!$I$47,IF(AND(C25=6,C24="P"),T!$I$48,IF(AND(C25=8,C24="P"),T!$I$49,IF(AND(C25=10,C24="P"),T!$I$50,IF(AND(C25=12,C24="P"),T!$I$51,0))))))</f>
        <v>0</v>
      </c>
      <c r="L22" s="135">
        <f>IF(AND(C25=2,C24="L"),T!$J$46,IF(AND(C25=4,C24="L"),T!$J$47,IF(AND(C25=6,C24="L"),T!$J$48,IF(AND(C25=8,C24="L"),T!$J$49,IF(AND(C25=10,C24="L"),T!$J$50,IF(AND(C25=12,C24="L"),T!$J$51,0))))))</f>
        <v>0</v>
      </c>
      <c r="M22" s="135">
        <f>IF(AND(C25=2,C24="M"),T!$K$46,IF(AND(C25=4,C24="M"),T!$K$47,IF(AND(C25=6,C24="M"),T!$K$48,IF(AND(C25=8,C24="M"),T!$K$49,IF(AND(C25=10,C24="M"),T!$K$50,IF(AND(C25=12,C24="M"),T!$K$51,0))))))</f>
        <v>41.23</v>
      </c>
      <c r="O22" s="118">
        <f t="shared" si="8"/>
        <v>41.23</v>
      </c>
      <c r="P22" s="7">
        <f t="shared" si="9"/>
        <v>2034.4409410623332</v>
      </c>
      <c r="Q22" s="7">
        <f t="shared" si="10"/>
        <v>779200.5440213437</v>
      </c>
      <c r="R22" s="118">
        <f t="shared" si="11"/>
        <v>288304.20128789725</v>
      </c>
    </row>
    <row r="23" spans="2:18" x14ac:dyDescent="0.25">
      <c r="B23" s="107" t="str">
        <f t="shared" si="16"/>
        <v>Longitud (km)</v>
      </c>
      <c r="C23" s="76">
        <f>MCI!D23</f>
        <v>23300</v>
      </c>
      <c r="E23" s="118" t="str">
        <f t="shared" si="12"/>
        <v>C3</v>
      </c>
      <c r="F23" s="27">
        <f t="shared" si="7"/>
        <v>2.0833333333333332E-2</v>
      </c>
      <c r="G23" s="121">
        <f t="shared" si="7"/>
        <v>1.23</v>
      </c>
      <c r="H23" s="121">
        <f t="shared" si="13"/>
        <v>0.22999999999999998</v>
      </c>
      <c r="I23" s="118">
        <f t="shared" si="14"/>
        <v>113.71875</v>
      </c>
      <c r="J23" s="21">
        <f t="shared" si="15"/>
        <v>2649.6468749999999</v>
      </c>
      <c r="K23" s="135">
        <f>IF(AND(C25=2,C24="P"),T!$I$36,IF(AND(C25=4,C24="P"),T!$I$37,IF(AND(C25=6,C24="P"),T!$I$38,IF(AND(C25=8,C24="P"),T!$I$39,IF(AND(C25=10,C24="P"),T!$I$40,IF(AND(C25=12,C24="P"),T!$I$41,0))))))</f>
        <v>0</v>
      </c>
      <c r="L23" s="135">
        <f>IF(AND(C25=2,C24="L"),T!$J$36,IF(AND(C25=4,C24="L"),T!$J$37,IF(AND(C25=6,C24="L"),T!$J$38,IF(AND(C25=8,C24="L"),T!$J$39,IF(AND(C25=10,C24="L"),T!$J$40,IF(AND(C25=12,C24="L"),T!$J$41,0))))))</f>
        <v>0</v>
      </c>
      <c r="M23" s="135">
        <f>IF(AND(C25=2,C24="M"),T!$K$36,IF(AND(C25=4,C24="M"),T!$K$37,IF(AND(C25=6,C24="M"),T!$K$38,IF(AND(C25=8,C24="M"),T!$K$39,IF(AND(C25=10,C24="M"),T!$K$40,IF(AND(C25=12,C24="M"),T!$K$41,0))))))</f>
        <v>34.86</v>
      </c>
      <c r="O23" s="118">
        <f t="shared" si="8"/>
        <v>34.86</v>
      </c>
      <c r="P23" s="7">
        <f t="shared" si="9"/>
        <v>2406.1962134251289</v>
      </c>
      <c r="Q23" s="7">
        <f t="shared" si="10"/>
        <v>273629.62564543891</v>
      </c>
      <c r="R23" s="118">
        <f t="shared" si="11"/>
        <v>62934.813898450942</v>
      </c>
    </row>
    <row r="24" spans="2:18" x14ac:dyDescent="0.25">
      <c r="B24" s="107" t="str">
        <f t="shared" si="16"/>
        <v>Tipo de terreno</v>
      </c>
      <c r="C24" s="121" t="str">
        <f>IF(MCI!D24=LISTA!A2,"P",IF(MCI!D24=LISTA!A3,"L",IF(MCI!D24=LISTA!A4,"M",0)))</f>
        <v>M</v>
      </c>
      <c r="E24" s="118" t="str">
        <f t="shared" si="12"/>
        <v>T3S2</v>
      </c>
      <c r="F24" s="27">
        <f t="shared" si="7"/>
        <v>4.8333333333333339E-2</v>
      </c>
      <c r="G24" s="121">
        <f t="shared" si="7"/>
        <v>1.1399999999999999</v>
      </c>
      <c r="H24" s="121">
        <f t="shared" si="13"/>
        <v>0.1399999999999999</v>
      </c>
      <c r="I24" s="118">
        <f>F24*$C$27</f>
        <v>263.82750000000004</v>
      </c>
      <c r="J24" s="21">
        <f t="shared" si="15"/>
        <v>6147.1807500000014</v>
      </c>
      <c r="K24" s="135">
        <f>IF(AND(C25=2,C24="P"),T!$I$26,IF(AND(C25=4,C24="P"),T!$I$27,IF(AND(C25=6,C24="P"),T!$I$28,IF(AND(C25=8,C24="P"),T!$I$29,IF(AND(C25=10,C24="P"),T!$I$30,IF(AND(C25=12,C24="P"),T!$I$31,0))))))</f>
        <v>0</v>
      </c>
      <c r="L24" s="135">
        <f>IF(AND(C25=2,C24="L"),T!$J$26,IF(AND(C25=4,C24="L"),T!$J$27,IF(AND(C25=6,C24="L"),T!$J$28,IF(AND(C25=8,C24="L"),T!$J$29,IF(AND(C25=10,C24="L"),T!$J$30,IF(AND(C25=12,C24="L"),T!$J$31,0))))))</f>
        <v>0</v>
      </c>
      <c r="M24" s="135">
        <f>IF(AND(C25=2,C24="M"),T!$K$26,IF(AND(C25=4,C24="M"),T!$K$27,IF(AND(C25=6,C24="M"),T!$K$28,IF(AND(C25=8,C24="M"),T!$K$29,IF(AND(C25=10,C24="M"),T!$K$30,IF(AND(C25=12,C24="M"),T!$K$31,0))))))</f>
        <v>36.76</v>
      </c>
      <c r="O24" s="118">
        <f t="shared" si="8"/>
        <v>36.76</v>
      </c>
      <c r="P24" s="7">
        <f t="shared" si="9"/>
        <v>2281.8280739934712</v>
      </c>
      <c r="Q24" s="7">
        <f t="shared" si="10"/>
        <v>602008.99619151268</v>
      </c>
      <c r="R24" s="118">
        <f t="shared" si="11"/>
        <v>84281.259466811709</v>
      </c>
    </row>
    <row r="25" spans="2:18" x14ac:dyDescent="0.25">
      <c r="B25" s="107" t="str">
        <f t="shared" si="16"/>
        <v>IIR</v>
      </c>
      <c r="C25" s="77">
        <f>MCI!D25</f>
        <v>6</v>
      </c>
      <c r="E25" s="118" t="str">
        <f t="shared" si="12"/>
        <v xml:space="preserve"> T3S3</v>
      </c>
      <c r="F25" s="27">
        <f t="shared" si="7"/>
        <v>1.55E-2</v>
      </c>
      <c r="G25" s="121">
        <f t="shared" si="7"/>
        <v>1.1399999999999999</v>
      </c>
      <c r="H25" s="121">
        <f t="shared" si="13"/>
        <v>0.1399999999999999</v>
      </c>
      <c r="I25" s="118">
        <f t="shared" si="14"/>
        <v>84.606750000000005</v>
      </c>
      <c r="J25" s="21">
        <f t="shared" si="15"/>
        <v>1971.3372750000001</v>
      </c>
      <c r="K25" s="135">
        <f>IF(AND(C25=2,C24="P"),T!$I$16,IF(AND(C25=4,C24="P"),T!$I$17,IF(AND(C25=6,C24="P"),T!$I$18,IF(AND(C25=8,C24="P"),T!$I$19,IF(AND(C25=10,C24="P"),T!$I$20,IF(AND(C25=12,C24="P"),T!$I$21,0))))))</f>
        <v>0</v>
      </c>
      <c r="L25" s="135">
        <f>IF(AND(C25=2,C24="L"),T!$J$16,IF(AND(C25=4,C24="L"),T!$J$17,IF(AND(C25=6,C24="L"),T!$J$18,IF(AND(C25=8,C24="L"),T!$J$19,IF(AND(C25=10,C24="L"),T!$J$20,IF(AND(C25=12,C24="L"),T!$J$21,0))))))</f>
        <v>0</v>
      </c>
      <c r="M25" s="135">
        <f>IF(AND(C25=2,C24="M"),T!$K$16,IF(AND(C25=4,C24="M"),T!$K$17,IF(AND(C25=6,C24="M"),T!$K$18,IF(AND(C25=8,C24="M"),T!$K$19,IF(AND(C25=10,C24="M"),T!$K$20,IF(AND(C25=12,C24="M"),T!$K$21,0))))))</f>
        <v>31.68</v>
      </c>
      <c r="O25" s="118">
        <f t="shared" si="8"/>
        <v>31.68</v>
      </c>
      <c r="P25" s="7">
        <f t="shared" si="9"/>
        <v>2647.7272727272725</v>
      </c>
      <c r="Q25" s="7">
        <f t="shared" si="10"/>
        <v>224015.59943181818</v>
      </c>
      <c r="R25" s="118">
        <f t="shared" si="11"/>
        <v>31362.183920454521</v>
      </c>
    </row>
    <row r="26" spans="2:18" x14ac:dyDescent="0.25">
      <c r="B26" s="107" t="str">
        <f t="shared" si="16"/>
        <v>Descripción</v>
      </c>
      <c r="C26" s="104" t="str">
        <f>MCI!D22</f>
        <v>Atlacomulco - Acambay (57)</v>
      </c>
      <c r="E26" s="118" t="str">
        <f t="shared" si="12"/>
        <v xml:space="preserve"> T3S2R4</v>
      </c>
      <c r="F26" s="27">
        <f t="shared" si="7"/>
        <v>1.0166666666666666E-2</v>
      </c>
      <c r="G26" s="121">
        <f t="shared" si="7"/>
        <v>1.0900000000000001</v>
      </c>
      <c r="H26" s="121">
        <f t="shared" si="13"/>
        <v>9.000000000000008E-2</v>
      </c>
      <c r="I26" s="118">
        <f t="shared" si="14"/>
        <v>55.494749999999996</v>
      </c>
      <c r="J26" s="21">
        <f t="shared" si="15"/>
        <v>1293.0276749999998</v>
      </c>
      <c r="K26" s="135">
        <f>IF(AND(C25=2,C24="P"),T!$I$6,IF(AND(C25=4,C24="P"),T!$I$7,IF(AND(C25=6,C24="P"),T!$I$8,IF(AND(C25=8,C24="P"),T!$I$9,IF(AND(C25=10,C24="P"),T!$I$10,IF(AND(C25=12,C24="P"),T!$I$11,0))))))</f>
        <v>0</v>
      </c>
      <c r="L26" s="135">
        <f>IF(AND(C25=2,C24="L"),T!$J$6,IF(AND(C25=4,C24="L"),T!$J$7,IF(AND(C25=6,C24="L"),T!$J$8,IF(AND(C25=8,C24="L"),T!$J$9,IF(AND(C25=10,C24="L"),T!$J$10,IF(AND(C25=12,C24="L"),T!$J$11,0))))))</f>
        <v>0</v>
      </c>
      <c r="M26" s="135">
        <f>IF(AND(C25=2,C24="M"),T!$K$6,IF(AND(C25=4,C24="M"),T!$K$7,IF(AND(C25=6,C24="M"),T!$K$8,IF(AND(C25=8,C24="M"),T!$K$9,IF(AND(C25=10,C24="M"),T!$K$10,IF(AND(C25=12,C24="M"),T!$K$11,0))))))</f>
        <v>24.85</v>
      </c>
      <c r="O26" s="118">
        <f t="shared" si="8"/>
        <v>24.85</v>
      </c>
      <c r="P26" s="7">
        <f t="shared" si="9"/>
        <v>3375.4527162977865</v>
      </c>
      <c r="Q26" s="7">
        <f t="shared" si="10"/>
        <v>187319.90462776658</v>
      </c>
      <c r="R26" s="118">
        <f t="shared" si="11"/>
        <v>16858.791416499007</v>
      </c>
    </row>
    <row r="27" spans="2:18" x14ac:dyDescent="0.25">
      <c r="B27" s="107" t="str">
        <f t="shared" si="16"/>
        <v>TDPARP (vpd)</v>
      </c>
      <c r="C27" s="121">
        <f>C14</f>
        <v>5458.5</v>
      </c>
      <c r="E27" s="118" t="str">
        <f t="shared" si="12"/>
        <v xml:space="preserve"> OTROS</v>
      </c>
      <c r="F27" s="27">
        <f t="shared" si="7"/>
        <v>3.0000000000000768E-3</v>
      </c>
      <c r="G27" s="121">
        <f t="shared" si="7"/>
        <v>1.0900000000000001</v>
      </c>
      <c r="H27" s="121">
        <f t="shared" si="13"/>
        <v>9.000000000000008E-2</v>
      </c>
      <c r="I27" s="118">
        <f>F27*$C$27</f>
        <v>16.375500000000418</v>
      </c>
      <c r="J27" s="21">
        <f t="shared" si="15"/>
        <v>381.54915000000972</v>
      </c>
      <c r="K27" s="118"/>
      <c r="L27" s="118"/>
      <c r="M27" s="118"/>
      <c r="O27" s="140">
        <f>AVERAGE(O20:O26)</f>
        <v>38.154285714285713</v>
      </c>
      <c r="P27" s="7">
        <f t="shared" si="9"/>
        <v>2198.4424142579005</v>
      </c>
      <c r="Q27" s="7">
        <f t="shared" si="10"/>
        <v>36000.593754681169</v>
      </c>
      <c r="R27" s="118">
        <f t="shared" si="11"/>
        <v>3240.0534379213082</v>
      </c>
    </row>
    <row r="28" spans="2:18" x14ac:dyDescent="0.25">
      <c r="E28" s="19"/>
      <c r="F28" s="43"/>
      <c r="G28" s="43"/>
      <c r="H28" s="43"/>
      <c r="I28" s="19"/>
      <c r="J28" s="44"/>
      <c r="Q28" s="82" t="s">
        <v>17</v>
      </c>
      <c r="R28" s="118">
        <f>SUM(R20:R27)</f>
        <v>13617120.536008334</v>
      </c>
    </row>
    <row r="30" spans="2:18" x14ac:dyDescent="0.25">
      <c r="E30" s="118" t="s">
        <v>19</v>
      </c>
      <c r="F30" s="82" t="s">
        <v>24</v>
      </c>
      <c r="G30" s="82" t="s">
        <v>41</v>
      </c>
      <c r="H30" s="82" t="s">
        <v>290</v>
      </c>
      <c r="I30" s="82" t="s">
        <v>20</v>
      </c>
      <c r="J30" s="119" t="s">
        <v>36</v>
      </c>
      <c r="K30" s="118"/>
      <c r="L30" s="118"/>
      <c r="M30" s="118"/>
      <c r="O30" s="119" t="s">
        <v>21</v>
      </c>
      <c r="P30" s="82" t="s">
        <v>292</v>
      </c>
      <c r="Q30" s="82" t="s">
        <v>77</v>
      </c>
      <c r="R30" s="82" t="s">
        <v>42</v>
      </c>
    </row>
    <row r="31" spans="2:18" x14ac:dyDescent="0.25">
      <c r="E31" s="352" t="s">
        <v>1</v>
      </c>
      <c r="F31" s="118" t="s">
        <v>6</v>
      </c>
      <c r="G31" s="142" t="str">
        <f>G18</f>
        <v>(persona/veh)</v>
      </c>
      <c r="H31" s="142" t="str">
        <f>G31</f>
        <v>(persona/veh)</v>
      </c>
      <c r="I31" s="118" t="s">
        <v>7</v>
      </c>
      <c r="J31" s="118" t="s">
        <v>142</v>
      </c>
      <c r="K31" s="118"/>
      <c r="L31" s="118"/>
      <c r="M31" s="118"/>
      <c r="O31" s="118" t="s">
        <v>8</v>
      </c>
      <c r="P31" s="118" t="s">
        <v>11</v>
      </c>
      <c r="Q31" s="118" t="s">
        <v>287</v>
      </c>
      <c r="R31" s="118" t="s">
        <v>9</v>
      </c>
    </row>
    <row r="32" spans="2:18" ht="75" x14ac:dyDescent="0.25">
      <c r="E32" s="352"/>
      <c r="F32" s="116" t="s">
        <v>5</v>
      </c>
      <c r="G32" s="116" t="s">
        <v>112</v>
      </c>
      <c r="H32" s="116" t="s">
        <v>289</v>
      </c>
      <c r="I32" s="116" t="s">
        <v>3</v>
      </c>
      <c r="J32" s="116" t="s">
        <v>143</v>
      </c>
      <c r="K32" s="118"/>
      <c r="L32" s="118"/>
      <c r="M32" s="118"/>
      <c r="O32" s="116" t="s">
        <v>4</v>
      </c>
      <c r="P32" s="116" t="s">
        <v>10</v>
      </c>
      <c r="Q32" s="116" t="s">
        <v>288</v>
      </c>
      <c r="R32" s="116" t="s">
        <v>12</v>
      </c>
    </row>
    <row r="33" spans="2:18" x14ac:dyDescent="0.25">
      <c r="E33" s="118" t="str">
        <f>E20</f>
        <v>A</v>
      </c>
      <c r="F33" s="27">
        <f t="shared" ref="F33:G40" si="17">F20</f>
        <v>0.79800000000000004</v>
      </c>
      <c r="G33" s="121">
        <f>G20</f>
        <v>2.2799999999999998</v>
      </c>
      <c r="H33" s="121">
        <f>G33-1</f>
        <v>1.2799999999999998</v>
      </c>
      <c r="I33" s="118">
        <f>F33*$C$40</f>
        <v>4355.8829999999998</v>
      </c>
      <c r="J33" s="21">
        <f>I33*$C$36/1000</f>
        <v>101492.07389999999</v>
      </c>
      <c r="K33" s="135">
        <f>IF(AND(C38=2,C37="P"),T!$I$66,IF(AND(C38=4,C37="P"),T!$I$67,IF(AND(C38=6,C37="P"),T!$I$68,IF(AND(C38=8,C37="P"),T!$I$69,IF(AND(C38=10,C37="P"),T!$I$70,IF(AND(C38=12,C37="P"),T!$I$71,0))))))</f>
        <v>0</v>
      </c>
      <c r="L33" s="135">
        <f>IF(AND(C38=2,C37="L"),T!$J$66,IF(AND(C38=4,C37="L"),T!$J$67,IF(AND(C38=6,C37="L"),T!$J$68,IF(AND(C38=8,C37="L"),T!$J$69,IF(AND(C38=10,C37="L"),T!$J$70,IF(AND(C38=12,C37="L"),T!$J$71,0))))))</f>
        <v>0</v>
      </c>
      <c r="M33" s="135">
        <f>IF(AND(C38=2,C37="M"),T!$K$66,IF(AND(C38=4,C37="M"),T!$K$67,IF(AND(C38=6,C37="M"),T!$K$68,IF(AND(C38=8,C37="M"),T!$K$69,IF(AND(C38=10,C37="M"),T!$K$70,IF(AND(C38=12,C37="M"),T!$K$71,0))))))</f>
        <v>51.46</v>
      </c>
      <c r="O33" s="118">
        <f t="shared" ref="O33:O39" si="18">SUM(K33:M33)</f>
        <v>51.46</v>
      </c>
      <c r="P33" s="7">
        <f t="shared" ref="P33:P40" si="19">C$36*3600/(O33*1000)</f>
        <v>1630.0038865137972</v>
      </c>
      <c r="Q33" s="7">
        <f t="shared" ref="Q33:Q40" si="20">P33*I33</f>
        <v>7100106.219199378</v>
      </c>
      <c r="R33" s="118">
        <f t="shared" ref="R33:R40" si="21">Q33*H33</f>
        <v>9088135.9605752025</v>
      </c>
    </row>
    <row r="34" spans="2:18" x14ac:dyDescent="0.25">
      <c r="E34" s="118" t="str">
        <f t="shared" ref="E34:E40" si="22">E21</f>
        <v xml:space="preserve"> B</v>
      </c>
      <c r="F34" s="27">
        <f t="shared" si="17"/>
        <v>3.4000000000000002E-2</v>
      </c>
      <c r="G34" s="121">
        <f t="shared" si="17"/>
        <v>12.81</v>
      </c>
      <c r="H34" s="121">
        <f t="shared" ref="H34:H40" si="23">G34-1</f>
        <v>11.81</v>
      </c>
      <c r="I34" s="118">
        <f t="shared" ref="I34:I40" si="24">F34*$C$40</f>
        <v>185.58900000000003</v>
      </c>
      <c r="J34" s="21">
        <f t="shared" ref="J34:J40" si="25">I34*$C$36/1000</f>
        <v>4324.2237000000005</v>
      </c>
      <c r="K34" s="135">
        <f>IF(AND(C38=2,C37="P"),T!$I$56,IF(AND(C38=4,C37="P"),T!$I$57,IF(AND(C38=6,C37="P"),T!$I$58,IF(AND(C38=8,C37="P"),T!$I$59,IF(AND(C38=10,C37="P"),T!$I$60,IF(AND(C38=12,C37="P"),T!$I$61,0))))))</f>
        <v>0</v>
      </c>
      <c r="L34" s="135">
        <f>IF(AND(C38=2,C37="L"),T!$J$56,IF(AND(C38=4,C37="L"),T!$J$57,IF(AND(C38=6,C37="L"),T!$J$58,IF(AND(C38=8,C37="L"),T!$J$59,IF(AND(C38=10,C37="L"),T!$J$60,IF(AND(C38=12,C37="L"),T!$J$61,0))))))</f>
        <v>0</v>
      </c>
      <c r="M34" s="135">
        <f>IF(AND(C38=2,C37="M"),T!$K$56,IF(AND(C38=4,C37="M"),T!$K$57,IF(AND(C38=6,C37="M"),T!$K$58,IF(AND(C38=8,C37="M"),T!$K$59,IF(AND(C38=10,C37="M"),T!$K$60,IF(AND(C38=12,C37="M"),T!$K$61,0))))))</f>
        <v>47.52</v>
      </c>
      <c r="O34" s="118">
        <f t="shared" si="18"/>
        <v>47.52</v>
      </c>
      <c r="P34" s="7">
        <f t="shared" si="19"/>
        <v>1765.1515151515152</v>
      </c>
      <c r="Q34" s="7">
        <f t="shared" si="20"/>
        <v>327592.70454545459</v>
      </c>
      <c r="R34" s="118">
        <f t="shared" si="21"/>
        <v>3868869.8406818188</v>
      </c>
    </row>
    <row r="35" spans="2:18" x14ac:dyDescent="0.25">
      <c r="B35" s="107" t="str">
        <f t="shared" ref="B35:B40" si="26">B22</f>
        <v>Tramo</v>
      </c>
      <c r="C35" s="118">
        <f>MCI!E21</f>
        <v>3</v>
      </c>
      <c r="E35" s="118" t="str">
        <f t="shared" si="22"/>
        <v>C2</v>
      </c>
      <c r="F35" s="27">
        <f t="shared" si="17"/>
        <v>7.0166666666666669E-2</v>
      </c>
      <c r="G35" s="121">
        <f t="shared" si="17"/>
        <v>1.37</v>
      </c>
      <c r="H35" s="121">
        <f t="shared" si="23"/>
        <v>0.37000000000000011</v>
      </c>
      <c r="I35" s="118">
        <f t="shared" si="24"/>
        <v>383.00475</v>
      </c>
      <c r="J35" s="21">
        <f t="shared" si="25"/>
        <v>8924.0106750000014</v>
      </c>
      <c r="K35" s="135">
        <f>IF(AND(C38=2,C37="P"),T!$I$46,IF(AND(C38=4,C37="P"),T!$I$47,IF(AND(C38=6,C37="P"),T!$I$48,IF(AND(C38=8,C37="P"),T!$I$49,IF(AND(C38=10,C37="P"),T!$I$50,IF(AND(C38=12,C37="P"),T!$I$51,0))))))</f>
        <v>0</v>
      </c>
      <c r="L35" s="135">
        <f>IF(AND(C38=2,C37="L"),T!$J$46,IF(AND(C38=4,C37="L"),T!$J$47,IF(AND(C38=6,C37="L"),T!$J$48,IF(AND(C38=8,C37="L"),T!$J$49,IF(AND(C38=10,C37="L"),T!$J$50,IF(AND(C38=12,C37="L"),T!$J$51,0))))))</f>
        <v>0</v>
      </c>
      <c r="M35" s="135">
        <f>IF(AND(C38=2,C37="M"),T!$K$46,IF(AND(C38=4,C37="M"),T!$K$47,IF(AND(C38=6,C37="M"),T!$K$48,IF(AND(C38=8,C37="M"),T!$K$49,IF(AND(C38=10,C37="M"),T!$K$50,IF(AND(C38=12,C37="M"),T!$K$51,0))))))</f>
        <v>42.09</v>
      </c>
      <c r="O35" s="118">
        <f t="shared" si="18"/>
        <v>42.09</v>
      </c>
      <c r="P35" s="7">
        <f t="shared" si="19"/>
        <v>1992.8724162508909</v>
      </c>
      <c r="Q35" s="7">
        <f t="shared" si="20"/>
        <v>763279.60156806838</v>
      </c>
      <c r="R35" s="118">
        <f t="shared" si="21"/>
        <v>282413.45258018537</v>
      </c>
    </row>
    <row r="36" spans="2:18" x14ac:dyDescent="0.25">
      <c r="B36" s="107" t="str">
        <f t="shared" si="26"/>
        <v>Longitud (km)</v>
      </c>
      <c r="C36" s="76">
        <f>MCI!E23</f>
        <v>23300</v>
      </c>
      <c r="E36" s="118" t="str">
        <f t="shared" si="22"/>
        <v>C3</v>
      </c>
      <c r="F36" s="27">
        <f t="shared" si="17"/>
        <v>2.0833333333333332E-2</v>
      </c>
      <c r="G36" s="121">
        <f t="shared" si="17"/>
        <v>1.23</v>
      </c>
      <c r="H36" s="121">
        <f t="shared" si="23"/>
        <v>0.22999999999999998</v>
      </c>
      <c r="I36" s="118">
        <f t="shared" si="24"/>
        <v>113.71875</v>
      </c>
      <c r="J36" s="21">
        <f t="shared" si="25"/>
        <v>2649.6468749999999</v>
      </c>
      <c r="K36" s="135">
        <f>IF(AND(C38=2,C37="P"),T!$I$36,IF(AND(C38=4,C37="P"),T!$I$37,IF(AND(C38=6,C37="P"),T!$I$38,IF(AND(C38=8,C37="P"),T!$I$39,IF(AND(C38=10,C37="P"),T!$I$40,IF(AND(C38=12,C37="P"),T!$I$41,0))))))</f>
        <v>0</v>
      </c>
      <c r="L36" s="135">
        <f>IF(AND(C38=2,C37="L"),T!$J$36,IF(AND(C38=4,C37="L"),T!$J$37,IF(AND(C38=6,C37="L"),T!$J$38,IF(AND(C38=8,C37="L"),T!$J$39,IF(AND(C38=10,C37="L"),T!$J$40,IF(AND(C38=12,C37="L"),T!$J$41,0))))))</f>
        <v>0</v>
      </c>
      <c r="M36" s="135">
        <f>IF(AND(C38=2,C37="M"),T!$K$36,IF(AND(C38=4,C37="M"),T!$K$37,IF(AND(C38=6,C37="M"),T!$K$38,IF(AND(C38=8,C37="M"),T!$K$39,IF(AND(C38=10,C37="M"),T!$K$40,IF(AND(C38=12,C37="M"),T!$K$41,0))))))</f>
        <v>35.380000000000003</v>
      </c>
      <c r="O36" s="118">
        <f t="shared" si="18"/>
        <v>35.380000000000003</v>
      </c>
      <c r="P36" s="7">
        <f t="shared" si="19"/>
        <v>2370.8309779536462</v>
      </c>
      <c r="Q36" s="7">
        <f t="shared" si="20"/>
        <v>269607.93527416623</v>
      </c>
      <c r="R36" s="118">
        <f t="shared" si="21"/>
        <v>62009.825113058228</v>
      </c>
    </row>
    <row r="37" spans="2:18" x14ac:dyDescent="0.25">
      <c r="B37" s="107" t="str">
        <f t="shared" si="26"/>
        <v>Tipo de terreno</v>
      </c>
      <c r="C37" s="121" t="str">
        <f>IF(MCI!E24=LISTA!A2,"P",IF(MCI!E24=LISTA!A3,"L",IF(MCI!E24=LISTA!A4,"M",0)))</f>
        <v>M</v>
      </c>
      <c r="E37" s="118" t="str">
        <f t="shared" si="22"/>
        <v>T3S2</v>
      </c>
      <c r="F37" s="27">
        <f t="shared" si="17"/>
        <v>4.8333333333333339E-2</v>
      </c>
      <c r="G37" s="121">
        <f t="shared" si="17"/>
        <v>1.1399999999999999</v>
      </c>
      <c r="H37" s="121">
        <f t="shared" si="23"/>
        <v>0.1399999999999999</v>
      </c>
      <c r="I37" s="118">
        <f t="shared" si="24"/>
        <v>263.82750000000004</v>
      </c>
      <c r="J37" s="21">
        <f t="shared" si="25"/>
        <v>6147.1807500000014</v>
      </c>
      <c r="K37" s="135">
        <f>IF(AND(C38=2,C37="P"),T!$I$26,IF(AND(C38=4,C37="P"),T!$I$27,IF(AND(C38=6,C37="P"),T!$I$28,IF(AND(C38=8,C37="P"),T!$I$29,IF(AND(C38=10,C37="P"),T!$I$30,IF(AND(C38=12,C37="P"),T!$I$31,0))))))</f>
        <v>0</v>
      </c>
      <c r="L37" s="135">
        <f>IF(AND(C38=2,C37="L"),T!$J$26,IF(AND(C38=4,C37="L"),T!$J$27,IF(AND(C38=6,C37="L"),T!$J$28,IF(AND(C38=8,C37="L"),T!$J$29,IF(AND(C38=10,C37="L"),T!$J$30,IF(AND(C38=12,C37="L"),T!$J$31,0))))))</f>
        <v>0</v>
      </c>
      <c r="M37" s="135">
        <f>IF(AND(C38=2,C37="M"),T!$K$26,IF(AND(C38=4,C37="M"),T!$K$27,IF(AND(C38=6,C37="M"),T!$K$28,IF(AND(C38=8,C37="M"),T!$K$29,IF(AND(C38=10,C37="M"),T!$K$30,IF(AND(C38=12,C37="M"),T!$K$31,0))))))</f>
        <v>37.57</v>
      </c>
      <c r="O37" s="118">
        <f t="shared" si="18"/>
        <v>37.57</v>
      </c>
      <c r="P37" s="7">
        <f t="shared" si="19"/>
        <v>2232.6324194836307</v>
      </c>
      <c r="Q37" s="7">
        <f t="shared" si="20"/>
        <v>589029.82965131768</v>
      </c>
      <c r="R37" s="118">
        <f t="shared" si="21"/>
        <v>82464.176151184423</v>
      </c>
    </row>
    <row r="38" spans="2:18" x14ac:dyDescent="0.25">
      <c r="B38" s="107" t="str">
        <f t="shared" si="26"/>
        <v>IIR</v>
      </c>
      <c r="C38" s="77">
        <f>MCI!E25</f>
        <v>4</v>
      </c>
      <c r="E38" s="118" t="str">
        <f t="shared" si="22"/>
        <v xml:space="preserve"> T3S3</v>
      </c>
      <c r="F38" s="27">
        <f t="shared" si="17"/>
        <v>1.55E-2</v>
      </c>
      <c r="G38" s="121">
        <f t="shared" si="17"/>
        <v>1.1399999999999999</v>
      </c>
      <c r="H38" s="121">
        <f t="shared" si="23"/>
        <v>0.1399999999999999</v>
      </c>
      <c r="I38" s="118">
        <f t="shared" si="24"/>
        <v>84.606750000000005</v>
      </c>
      <c r="J38" s="21">
        <f t="shared" si="25"/>
        <v>1971.3372750000001</v>
      </c>
      <c r="K38" s="135">
        <f>IF(AND(C38=2,C37="P"),T!$I$16,IF(AND(C38=4,C37="P"),T!$I$17,IF(AND(C38=6,C37="P"),T!$I$18,IF(AND(C38=8,C37="P"),T!$I$19,IF(AND(C38=10,C37="P"),T!$I$20,IF(AND(C38=12,C37="P"),T!$I$21,0))))))</f>
        <v>0</v>
      </c>
      <c r="L38" s="135">
        <f>IF(AND(C38=2,C37="L"),T!$J$16,IF(AND(C38=4,C37="L"),T!$J$17,IF(AND(C38=6,C37="L"),T!$J$18,IF(AND(C38=8,C37="L"),T!$J$19,IF(AND(C38=10,C37="L"),T!$J$20,IF(AND(C38=12,C37="L"),T!$J$21,0))))))</f>
        <v>0</v>
      </c>
      <c r="M38" s="135">
        <f>IF(AND(C38=2,C37="M"),T!$K$16,IF(AND(C38=4,C37="M"),T!$K$17,IF(AND(C38=6,C37="M"),T!$K$18,IF(AND(C38=8,C37="M"),T!$K$19,IF(AND(C38=10,C37="M"),T!$K$20,IF(AND(C38=12,C37="M"),T!$K$21,0))))))</f>
        <v>32.21</v>
      </c>
      <c r="O38" s="118">
        <f t="shared" si="18"/>
        <v>32.21</v>
      </c>
      <c r="P38" s="7">
        <f t="shared" si="19"/>
        <v>2604.1601986960573</v>
      </c>
      <c r="Q38" s="7">
        <f t="shared" si="20"/>
        <v>220329.53089102765</v>
      </c>
      <c r="R38" s="118">
        <f t="shared" si="21"/>
        <v>30846.134324743849</v>
      </c>
    </row>
    <row r="39" spans="2:18" x14ac:dyDescent="0.25">
      <c r="B39" s="107" t="str">
        <f t="shared" si="26"/>
        <v>Descripción</v>
      </c>
      <c r="C39" s="104" t="str">
        <f>MCI!E22</f>
        <v>Atlacomulco - Acambay (40D)</v>
      </c>
      <c r="E39" s="118" t="str">
        <f t="shared" si="22"/>
        <v xml:space="preserve"> T3S2R4</v>
      </c>
      <c r="F39" s="27">
        <f t="shared" si="17"/>
        <v>1.0166666666666666E-2</v>
      </c>
      <c r="G39" s="121">
        <f t="shared" si="17"/>
        <v>1.0900000000000001</v>
      </c>
      <c r="H39" s="121">
        <f t="shared" si="23"/>
        <v>9.000000000000008E-2</v>
      </c>
      <c r="I39" s="118">
        <f t="shared" si="24"/>
        <v>55.494749999999996</v>
      </c>
      <c r="J39" s="21">
        <f t="shared" si="25"/>
        <v>1293.0276749999998</v>
      </c>
      <c r="K39" s="135">
        <f>IF(AND(C38=2,C37="P"),T!$I$6,IF(AND(C38=4,C37="P"),T!$I$7,IF(AND(C38=6,C37="P"),T!$I$8,IF(AND(C38=8,C37="P"),T!$I$9,IF(AND(C38=10,C37="P"),T!$I$10,IF(AND(C38=12,C37="P"),T!$I$11,0))))))</f>
        <v>0</v>
      </c>
      <c r="L39" s="135">
        <f>IF(AND(C38=2,C37="L"),T!$J$6,IF(AND(C38=4,C37="L"),T!$J$7,IF(AND(C38=6,C37="L"),T!$J$8,IF(AND(C38=8,C37="L"),T!$J$9,IF(AND(C38=10,C37="L"),T!$J$10,IF(AND(C38=12,C37="L"),T!$J$11,0))))))</f>
        <v>0</v>
      </c>
      <c r="M39" s="135">
        <f>IF(AND(C38=2,C37="M"),T!$K$6,IF(AND(C38=4,C37="M"),T!$K$7,IF(AND(C38=6,C37="M"),T!$K$8,IF(AND(C38=8,C37="M"),T!$K$9,IF(AND(C38=10,C37="M"),T!$K$10,IF(AND(C38=12,C37="M"),T!$K$11,0))))))</f>
        <v>25.16</v>
      </c>
      <c r="O39" s="118">
        <f t="shared" si="18"/>
        <v>25.16</v>
      </c>
      <c r="P39" s="7">
        <f t="shared" si="19"/>
        <v>3333.8632750397455</v>
      </c>
      <c r="Q39" s="7">
        <f t="shared" si="20"/>
        <v>185011.9089825119</v>
      </c>
      <c r="R39" s="118">
        <f t="shared" si="21"/>
        <v>16651.071808426084</v>
      </c>
    </row>
    <row r="40" spans="2:18" x14ac:dyDescent="0.25">
      <c r="B40" s="107" t="str">
        <f t="shared" si="26"/>
        <v>TDPARP (vpd)</v>
      </c>
      <c r="C40" s="121">
        <f>C27</f>
        <v>5458.5</v>
      </c>
      <c r="E40" s="118" t="str">
        <f t="shared" si="22"/>
        <v xml:space="preserve"> OTROS</v>
      </c>
      <c r="F40" s="27">
        <f t="shared" si="17"/>
        <v>3.0000000000000768E-3</v>
      </c>
      <c r="G40" s="121">
        <f t="shared" si="17"/>
        <v>1.0900000000000001</v>
      </c>
      <c r="H40" s="121">
        <f t="shared" si="23"/>
        <v>9.000000000000008E-2</v>
      </c>
      <c r="I40" s="118">
        <f t="shared" si="24"/>
        <v>16.375500000000418</v>
      </c>
      <c r="J40" s="21">
        <f t="shared" si="25"/>
        <v>381.54915000000972</v>
      </c>
      <c r="K40" s="118"/>
      <c r="L40" s="118"/>
      <c r="M40" s="118"/>
      <c r="O40" s="140">
        <f>AVERAGE(O33:O39)</f>
        <v>38.769999999999996</v>
      </c>
      <c r="P40" s="7">
        <f t="shared" si="19"/>
        <v>2163.5285014186229</v>
      </c>
      <c r="Q40" s="7">
        <f t="shared" si="20"/>
        <v>35428.860974981566</v>
      </c>
      <c r="R40" s="118">
        <f t="shared" si="21"/>
        <v>3188.5974877483436</v>
      </c>
    </row>
    <row r="41" spans="2:18" x14ac:dyDescent="0.25">
      <c r="E41" s="19"/>
      <c r="F41" s="43"/>
      <c r="G41" s="43"/>
      <c r="H41" s="43"/>
      <c r="I41" s="19"/>
      <c r="J41" s="44"/>
      <c r="Q41" s="82" t="s">
        <v>17</v>
      </c>
      <c r="R41" s="118">
        <f>SUM(R33:R40)</f>
        <v>13434579.058722368</v>
      </c>
    </row>
    <row r="43" spans="2:18" x14ac:dyDescent="0.25">
      <c r="E43" s="118" t="s">
        <v>19</v>
      </c>
      <c r="F43" s="82" t="s">
        <v>24</v>
      </c>
      <c r="G43" s="82" t="s">
        <v>41</v>
      </c>
      <c r="H43" s="82" t="s">
        <v>290</v>
      </c>
      <c r="I43" s="82" t="s">
        <v>20</v>
      </c>
      <c r="J43" s="119" t="s">
        <v>36</v>
      </c>
      <c r="K43" s="118"/>
      <c r="L43" s="118"/>
      <c r="M43" s="118"/>
      <c r="O43" s="119" t="s">
        <v>21</v>
      </c>
      <c r="P43" s="82" t="s">
        <v>292</v>
      </c>
      <c r="Q43" s="82" t="s">
        <v>77</v>
      </c>
      <c r="R43" s="82" t="s">
        <v>42</v>
      </c>
    </row>
    <row r="44" spans="2:18" x14ac:dyDescent="0.25">
      <c r="E44" s="352" t="s">
        <v>1</v>
      </c>
      <c r="F44" s="118" t="s">
        <v>6</v>
      </c>
      <c r="G44" s="142" t="str">
        <f>G31</f>
        <v>(persona/veh)</v>
      </c>
      <c r="H44" s="142" t="str">
        <f>G44</f>
        <v>(persona/veh)</v>
      </c>
      <c r="I44" s="118" t="s">
        <v>7</v>
      </c>
      <c r="J44" s="118" t="s">
        <v>142</v>
      </c>
      <c r="K44" s="118"/>
      <c r="L44" s="118"/>
      <c r="M44" s="118"/>
      <c r="O44" s="118" t="s">
        <v>8</v>
      </c>
      <c r="P44" s="118" t="s">
        <v>11</v>
      </c>
      <c r="Q44" s="118" t="s">
        <v>287</v>
      </c>
      <c r="R44" s="118" t="s">
        <v>9</v>
      </c>
    </row>
    <row r="45" spans="2:18" ht="75" x14ac:dyDescent="0.25">
      <c r="E45" s="352"/>
      <c r="F45" s="116" t="s">
        <v>5</v>
      </c>
      <c r="G45" s="116" t="s">
        <v>112</v>
      </c>
      <c r="H45" s="116" t="s">
        <v>289</v>
      </c>
      <c r="I45" s="116" t="s">
        <v>3</v>
      </c>
      <c r="J45" s="116" t="s">
        <v>143</v>
      </c>
      <c r="K45" s="118"/>
      <c r="L45" s="118"/>
      <c r="M45" s="118"/>
      <c r="O45" s="116" t="s">
        <v>4</v>
      </c>
      <c r="P45" s="116" t="s">
        <v>10</v>
      </c>
      <c r="Q45" s="116" t="s">
        <v>288</v>
      </c>
      <c r="R45" s="116" t="s">
        <v>12</v>
      </c>
    </row>
    <row r="46" spans="2:18" x14ac:dyDescent="0.25">
      <c r="E46" s="118" t="str">
        <f>E33</f>
        <v>A</v>
      </c>
      <c r="F46" s="27">
        <f t="shared" ref="F46:G53" si="27">F33</f>
        <v>0.79800000000000004</v>
      </c>
      <c r="G46" s="121">
        <f>G33</f>
        <v>2.2799999999999998</v>
      </c>
      <c r="H46" s="121">
        <f>G46-1</f>
        <v>1.2799999999999998</v>
      </c>
      <c r="I46" s="118">
        <f>F46*$C$53</f>
        <v>4355.8829999999998</v>
      </c>
      <c r="J46" s="21">
        <f>I46*$C$49/1000</f>
        <v>234782.0937</v>
      </c>
      <c r="K46" s="135">
        <f>IF(AND(C51=2,C50="P"),T!$I$66,IF(AND(C51=4,C50="P"),T!$I$67,IF(AND(C51=6,C50="P"),T!$I$68,IF(AND(C51=8,C50="P"),T!$I$69,IF(AND(C51=10,C50="P"),T!$I$70,IF(AND(C51=12,C50="P"),T!$I$71,0))))))</f>
        <v>0</v>
      </c>
      <c r="L46" s="135">
        <f>IF(AND(C51=2,C50="L"),T!$J$66,IF(AND(C51=4,C50="L"),T!$J$67,IF(AND(C51=6,C50="L"),T!$J$68,IF(AND(C51=8,C50="L"),T!$J$69,IF(AND(C51=10,C50="L"),T!$J$70,IF(AND(C51=12,C50="L"),T!$J$71,0))))))</f>
        <v>0</v>
      </c>
      <c r="M46" s="135">
        <f>IF(AND(C51=2,C50="M"),T!$K$66,IF(AND(C51=4,C50="M"),T!$K$67,IF(AND(C51=6,C50="M"),T!$K$68,IF(AND(C51=8,C50="M"),T!$K$69,IF(AND(C51=10,C50="M"),T!$K$70,IF(AND(C51=12,C50="M"),T!$K$71,0))))))</f>
        <v>51.46</v>
      </c>
      <c r="O46" s="118">
        <f t="shared" ref="O46:O52" si="28">SUM(K46:M46)</f>
        <v>51.46</v>
      </c>
      <c r="P46" s="7">
        <f t="shared" ref="P46:P53" si="29">C$49*3600/(O46*1000)</f>
        <v>3770.6956859696852</v>
      </c>
      <c r="Q46" s="7">
        <f t="shared" ref="Q46:Q53" si="30">P46*I46</f>
        <v>16424709.23668869</v>
      </c>
      <c r="R46" s="118">
        <f t="shared" ref="R46:R53" si="31">Q46*H46</f>
        <v>21023627.82296152</v>
      </c>
    </row>
    <row r="47" spans="2:18" x14ac:dyDescent="0.25">
      <c r="E47" s="118" t="str">
        <f t="shared" ref="E47:E53" si="32">E34</f>
        <v xml:space="preserve"> B</v>
      </c>
      <c r="F47" s="27">
        <f t="shared" si="27"/>
        <v>3.4000000000000002E-2</v>
      </c>
      <c r="G47" s="121">
        <f t="shared" si="27"/>
        <v>12.81</v>
      </c>
      <c r="H47" s="121">
        <f t="shared" ref="H47:H53" si="33">G47-1</f>
        <v>11.81</v>
      </c>
      <c r="I47" s="118">
        <f t="shared" ref="I47:I52" si="34">F47*$C$53</f>
        <v>185.58900000000003</v>
      </c>
      <c r="J47" s="21">
        <f t="shared" ref="J47:J53" si="35">I47*$C$49/1000</f>
        <v>10003.247100000002</v>
      </c>
      <c r="K47" s="135">
        <f>IF(AND(C51=2,C50="P"),T!$I$56,IF(AND(C51=4,C50="P"),T!$I$57,IF(AND(C51=6,C50="P"),T!$I$58,IF(AND(C51=8,C50="P"),T!$I$59,IF(AND(C51=10,C50="P"),T!$I$60,IF(AND(C51=12,C50="P"),T!$I$61,0))))))</f>
        <v>0</v>
      </c>
      <c r="L47" s="135">
        <f>IF(AND(C51=2,C50="L"),T!$J$56,IF(AND(C51=4,C50="L"),T!$J$57,IF(AND(C51=6,C50="L"),T!$J$58,IF(AND(C51=8,C50="L"),T!$J$59,IF(AND(C51=10,C50="L"),T!$J$60,IF(AND(C51=12,C50="L"),T!$J$61,0))))))</f>
        <v>0</v>
      </c>
      <c r="M47" s="135">
        <f>IF(AND(C51=2,C50="M"),T!$K$56,IF(AND(C51=4,C50="M"),T!$K$57,IF(AND(C51=6,C50="M"),T!$K$58,IF(AND(C51=8,C50="M"),T!$K$59,IF(AND(C51=10,C50="M"),T!$K$60,IF(AND(C51=12,C50="M"),T!$K$61,0))))))</f>
        <v>47.52</v>
      </c>
      <c r="O47" s="118">
        <f t="shared" si="28"/>
        <v>47.52</v>
      </c>
      <c r="P47" s="7">
        <f t="shared" si="29"/>
        <v>4083.3333333333335</v>
      </c>
      <c r="Q47" s="7">
        <f t="shared" si="30"/>
        <v>757821.75000000012</v>
      </c>
      <c r="R47" s="118">
        <f t="shared" si="31"/>
        <v>8949874.8675000016</v>
      </c>
    </row>
    <row r="48" spans="2:18" x14ac:dyDescent="0.25">
      <c r="B48" s="107" t="str">
        <f t="shared" ref="B48:B53" si="36">B35</f>
        <v>Tramo</v>
      </c>
      <c r="C48" s="118">
        <f>MCI!F21</f>
        <v>4</v>
      </c>
      <c r="E48" s="118" t="str">
        <f t="shared" si="32"/>
        <v>C2</v>
      </c>
      <c r="F48" s="27">
        <f t="shared" si="27"/>
        <v>7.0166666666666669E-2</v>
      </c>
      <c r="G48" s="121">
        <f t="shared" si="27"/>
        <v>1.37</v>
      </c>
      <c r="H48" s="121">
        <f t="shared" si="33"/>
        <v>0.37000000000000011</v>
      </c>
      <c r="I48" s="118">
        <f t="shared" si="34"/>
        <v>383.00475</v>
      </c>
      <c r="J48" s="21">
        <f t="shared" si="35"/>
        <v>20643.956024999999</v>
      </c>
      <c r="K48" s="135">
        <f>IF(AND(C51=2,C50="P"),T!$I$46,IF(AND(C51=4,C50="P"),T!$I$47,IF(AND(C51=6,C50="P"),T!$I$48,IF(AND(C51=8,C50="P"),T!$I$49,IF(AND(C51=10,C50="P"),T!$I$50,IF(AND(C51=12,C50="P"),T!$I$51,0))))))</f>
        <v>0</v>
      </c>
      <c r="L48" s="135">
        <f>IF(AND(C51=2,C50="L"),T!$J$46,IF(AND(C51=4,C50="L"),T!$J$47,IF(AND(C51=6,C50="L"),T!$J$48,IF(AND(C51=8,C50="L"),T!$J$49,IF(AND(C51=10,C50="L"),T!$J$50,IF(AND(C51=12,C50="L"),T!$J$51,0))))))</f>
        <v>0</v>
      </c>
      <c r="M48" s="135">
        <f>IF(AND(C51=2,C50="M"),T!$K$46,IF(AND(C51=4,C50="M"),T!$K$47,IF(AND(C51=6,C50="M"),T!$K$48,IF(AND(C51=8,C50="M"),T!$K$49,IF(AND(C51=10,C50="M"),T!$K$50,IF(AND(C51=12,C50="M"),T!$K$51,0))))))</f>
        <v>42.09</v>
      </c>
      <c r="O48" s="118">
        <f t="shared" si="28"/>
        <v>42.09</v>
      </c>
      <c r="P48" s="7">
        <f t="shared" si="29"/>
        <v>4610.1211689237352</v>
      </c>
      <c r="Q48" s="7">
        <f t="shared" si="30"/>
        <v>1765698.305773343</v>
      </c>
      <c r="R48" s="118">
        <f t="shared" si="31"/>
        <v>653308.37313613703</v>
      </c>
    </row>
    <row r="49" spans="2:18" x14ac:dyDescent="0.25">
      <c r="B49" s="107" t="str">
        <f t="shared" si="36"/>
        <v>Longitud (km)</v>
      </c>
      <c r="C49" s="76">
        <f>MCI!F23</f>
        <v>53900</v>
      </c>
      <c r="E49" s="118" t="str">
        <f t="shared" si="32"/>
        <v>C3</v>
      </c>
      <c r="F49" s="27">
        <f t="shared" si="27"/>
        <v>2.0833333333333332E-2</v>
      </c>
      <c r="G49" s="121">
        <f t="shared" si="27"/>
        <v>1.23</v>
      </c>
      <c r="H49" s="121">
        <f t="shared" si="33"/>
        <v>0.22999999999999998</v>
      </c>
      <c r="I49" s="118">
        <f t="shared" si="34"/>
        <v>113.71875</v>
      </c>
      <c r="J49" s="21">
        <f t="shared" si="35"/>
        <v>6129.4406250000002</v>
      </c>
      <c r="K49" s="135">
        <f>IF(AND(C51=2,C50="P"),T!$I$36,IF(AND(C51=4,C50="P"),T!$I$37,IF(AND(C51=6,C50="P"),T!$I$38,IF(AND(C51=8,C50="P"),T!$I$39,IF(AND(C51=10,C50="P"),T!$I$40,IF(AND(C51=12,C50="P"),T!$I$41,0))))))</f>
        <v>0</v>
      </c>
      <c r="L49" s="135">
        <f>IF(AND(C51=2,C50="L"),T!$J$36,IF(AND(C51=4,C50="L"),T!$J$37,IF(AND(C51=6,C50="L"),T!$J$38,IF(AND(C51=8,C50="L"),T!$J$39,IF(AND(C51=10,C50="L"),T!$J$40,IF(AND(C51=12,C50="L"),T!$J$41,0))))))</f>
        <v>0</v>
      </c>
      <c r="M49" s="135">
        <f>IF(AND(C51=2,C50="M"),T!$K$36,IF(AND(C51=4,C50="M"),T!$K$37,IF(AND(C51=6,C50="M"),T!$K$38,IF(AND(C51=8,C50="M"),T!$K$39,IF(AND(C51=10,C50="M"),T!$K$40,IF(AND(C51=12,C50="M"),T!$K$41,0))))))</f>
        <v>35.380000000000003</v>
      </c>
      <c r="O49" s="118">
        <f t="shared" si="28"/>
        <v>35.380000000000003</v>
      </c>
      <c r="P49" s="7">
        <f t="shared" si="29"/>
        <v>5484.4544940644428</v>
      </c>
      <c r="Q49" s="7">
        <f t="shared" si="30"/>
        <v>623685.30949689087</v>
      </c>
      <c r="R49" s="118">
        <f t="shared" si="31"/>
        <v>143447.62118428489</v>
      </c>
    </row>
    <row r="50" spans="2:18" x14ac:dyDescent="0.25">
      <c r="B50" s="107" t="str">
        <f t="shared" si="36"/>
        <v>Tipo de terreno</v>
      </c>
      <c r="C50" s="121" t="str">
        <f>IF(MCI!F24=LISTA!A2,"P",IF(MCI!F24=LISTA!A3,"L",IF(MCI!F24=LISTA!A4,"M",0)))</f>
        <v>M</v>
      </c>
      <c r="E50" s="118" t="str">
        <f t="shared" si="32"/>
        <v>T3S2</v>
      </c>
      <c r="F50" s="27">
        <f t="shared" si="27"/>
        <v>4.8333333333333339E-2</v>
      </c>
      <c r="G50" s="121">
        <f t="shared" si="27"/>
        <v>1.1399999999999999</v>
      </c>
      <c r="H50" s="121">
        <f t="shared" si="33"/>
        <v>0.1399999999999999</v>
      </c>
      <c r="I50" s="118">
        <f t="shared" si="34"/>
        <v>263.82750000000004</v>
      </c>
      <c r="J50" s="21">
        <f t="shared" si="35"/>
        <v>14220.302250000002</v>
      </c>
      <c r="K50" s="135">
        <f>IF(AND(C51=2,C50="P"),T!$I$26,IF(AND(C51=4,C50="P"),T!$I$27,IF(AND(C51=6,C50="P"),T!$I$28,IF(AND(C51=8,C50="P"),T!$I$29,IF(AND(C51=10,C50="P"),T!$I$30,IF(AND(C51=12,C50="P"),T!$I$31,0))))))</f>
        <v>0</v>
      </c>
      <c r="L50" s="135">
        <f>IF(AND(C51=2,C50="L"),T!$J$26,IF(AND(C51=4,C50="L"),T!$J$27,IF(AND(C51=6,C50="L"),T!$J$28,IF(AND(C51=8,C50="L"),T!$J$29,IF(AND(C51=10,C50="L"),T!$J$30,IF(AND(C51=12,C50="L"),T!$J$31,0))))))</f>
        <v>0</v>
      </c>
      <c r="M50" s="135">
        <f>IF(AND(C51=2,C50="M"),T!$K$26,IF(AND(C51=4,C50="M"),T!$K$27,IF(AND(C51=6,C50="M"),T!$K$28,IF(AND(C51=8,C50="M"),T!$K$29,IF(AND(C51=10,C50="M"),T!$K$30,IF(AND(C51=12,C50="M"),T!$K$31,0))))))</f>
        <v>37.57</v>
      </c>
      <c r="O50" s="118">
        <f t="shared" si="28"/>
        <v>37.57</v>
      </c>
      <c r="P50" s="7">
        <f t="shared" si="29"/>
        <v>5164.7591163162097</v>
      </c>
      <c r="Q50" s="7">
        <f t="shared" si="30"/>
        <v>1362605.4857599151</v>
      </c>
      <c r="R50" s="118">
        <f t="shared" si="31"/>
        <v>190764.76800638798</v>
      </c>
    </row>
    <row r="51" spans="2:18" x14ac:dyDescent="0.25">
      <c r="B51" s="107" t="str">
        <f t="shared" si="36"/>
        <v>IIR</v>
      </c>
      <c r="C51" s="77">
        <f>MCI!F25</f>
        <v>4</v>
      </c>
      <c r="E51" s="118" t="str">
        <f t="shared" si="32"/>
        <v xml:space="preserve"> T3S3</v>
      </c>
      <c r="F51" s="27">
        <f t="shared" si="27"/>
        <v>1.55E-2</v>
      </c>
      <c r="G51" s="121">
        <f t="shared" si="27"/>
        <v>1.1399999999999999</v>
      </c>
      <c r="H51" s="121">
        <f t="shared" si="33"/>
        <v>0.1399999999999999</v>
      </c>
      <c r="I51" s="118">
        <f t="shared" si="34"/>
        <v>84.606750000000005</v>
      </c>
      <c r="J51" s="21">
        <f t="shared" si="35"/>
        <v>4560.303825</v>
      </c>
      <c r="K51" s="135">
        <f>IF(AND(C51=2,C50="P"),T!$I$16,IF(AND(C51=4,C50="P"),T!$I$17,IF(AND(C51=6,C50="P"),T!$I$18,IF(AND(C51=8,C50="P"),T!$I$19,IF(AND(C51=10,C50="P"),T!$I$20,IF(AND(C51=12,C50="P"),T!$I$21,0))))))</f>
        <v>0</v>
      </c>
      <c r="L51" s="135">
        <f>IF(AND(C51=2,C50="L"),T!$J$16,IF(AND(C51=4,C50="L"),T!$J$17,IF(AND(C51=6,C50="L"),T!$J$18,IF(AND(C51=8,C50="L"),T!$J$19,IF(AND(C51=10,C50="L"),T!$J$20,IF(AND(C51=12,C50="L"),T!$J$21,0))))))</f>
        <v>0</v>
      </c>
      <c r="M51" s="135">
        <f>IF(AND(C51=2,C50="M"),T!$K$16,IF(AND(C51=4,C50="M"),T!$K$17,IF(AND(C51=6,C50="M"),T!$K$18,IF(AND(C51=8,C50="M"),T!$K$19,IF(AND(C51=10,C50="M"),T!$K$20,IF(AND(C51=12,C50="M"),T!$K$21,0))))))</f>
        <v>32.21</v>
      </c>
      <c r="O51" s="118">
        <f t="shared" si="28"/>
        <v>32.21</v>
      </c>
      <c r="P51" s="7">
        <f t="shared" si="29"/>
        <v>6024.216081962124</v>
      </c>
      <c r="Q51" s="7">
        <f t="shared" si="30"/>
        <v>509689.34399254899</v>
      </c>
      <c r="R51" s="118">
        <f t="shared" si="31"/>
        <v>71356.508158956814</v>
      </c>
    </row>
    <row r="52" spans="2:18" x14ac:dyDescent="0.25">
      <c r="B52" s="107" t="str">
        <f t="shared" si="36"/>
        <v>Descripción</v>
      </c>
      <c r="C52" s="104" t="str">
        <f>MCI!F22</f>
        <v>Acambay - Palmillas (57)</v>
      </c>
      <c r="E52" s="118" t="str">
        <f t="shared" si="32"/>
        <v xml:space="preserve"> T3S2R4</v>
      </c>
      <c r="F52" s="27">
        <f t="shared" si="27"/>
        <v>1.0166666666666666E-2</v>
      </c>
      <c r="G52" s="121">
        <f t="shared" si="27"/>
        <v>1.0900000000000001</v>
      </c>
      <c r="H52" s="121">
        <f t="shared" si="33"/>
        <v>9.000000000000008E-2</v>
      </c>
      <c r="I52" s="118">
        <f t="shared" si="34"/>
        <v>55.494749999999996</v>
      </c>
      <c r="J52" s="21">
        <f t="shared" si="35"/>
        <v>2991.1670249999997</v>
      </c>
      <c r="K52" s="135">
        <f>IF(AND(C51=2,C50="P"),T!$I$6,IF(AND(C51=4,C50="P"),T!$I$7,IF(AND(C51=6,C50="P"),T!$I$8,IF(AND(C51=8,C50="P"),T!$I$9,IF(AND(C51=10,C50="P"),T!$I$10,IF(AND(C51=12,C50="P"),T!$I$11,0))))))</f>
        <v>0</v>
      </c>
      <c r="L52" s="135">
        <f>IF(AND(C51=2,C50="L"),T!$J$6,IF(AND(C51=4,C50="L"),T!$J$7,IF(AND(C51=6,C50="L"),T!$J$8,IF(AND(C51=8,C50="L"),T!$J$9,IF(AND(C51=10,C50="L"),T!$J$10,IF(AND(C51=12,C50="L"),T!$J$11,0))))))</f>
        <v>0</v>
      </c>
      <c r="M52" s="135">
        <f>IF(AND(C51=2,C50="M"),T!$K$6,IF(AND(C51=4,C50="M"),T!$K$7,IF(AND(C51=6,C50="M"),T!$K$8,IF(AND(C51=8,C50="M"),T!$K$9,IF(AND(C51=10,C50="M"),T!$K$10,IF(AND(C51=12,C50="M"),T!$K$11,0))))))</f>
        <v>25.16</v>
      </c>
      <c r="O52" s="118">
        <f t="shared" si="28"/>
        <v>25.16</v>
      </c>
      <c r="P52" s="7">
        <f t="shared" si="29"/>
        <v>7712.2416534181239</v>
      </c>
      <c r="Q52" s="7">
        <f t="shared" si="30"/>
        <v>427988.92249602539</v>
      </c>
      <c r="R52" s="118">
        <f t="shared" si="31"/>
        <v>38519.003024642319</v>
      </c>
    </row>
    <row r="53" spans="2:18" x14ac:dyDescent="0.25">
      <c r="B53" s="107" t="str">
        <f t="shared" si="36"/>
        <v>TDPARP (vpd)</v>
      </c>
      <c r="C53" s="121">
        <f>C40</f>
        <v>5458.5</v>
      </c>
      <c r="E53" s="118" t="str">
        <f t="shared" si="32"/>
        <v xml:space="preserve"> OTROS</v>
      </c>
      <c r="F53" s="27">
        <f t="shared" si="27"/>
        <v>3.0000000000000768E-3</v>
      </c>
      <c r="G53" s="121">
        <f t="shared" si="27"/>
        <v>1.0900000000000001</v>
      </c>
      <c r="H53" s="121">
        <f t="shared" si="33"/>
        <v>9.000000000000008E-2</v>
      </c>
      <c r="I53" s="118">
        <f>F53*$C$53</f>
        <v>16.375500000000418</v>
      </c>
      <c r="J53" s="21">
        <f t="shared" si="35"/>
        <v>882.63945000002252</v>
      </c>
      <c r="K53" s="118"/>
      <c r="L53" s="118"/>
      <c r="M53" s="118"/>
      <c r="O53" s="140">
        <f>AVERAGE(O46:O52)</f>
        <v>38.769999999999996</v>
      </c>
      <c r="P53" s="7">
        <f t="shared" si="29"/>
        <v>5004.9006964147547</v>
      </c>
      <c r="Q53" s="7">
        <f t="shared" si="30"/>
        <v>81957.751354141903</v>
      </c>
      <c r="R53" s="118">
        <f t="shared" si="31"/>
        <v>7376.1976218727777</v>
      </c>
    </row>
    <row r="54" spans="2:18" x14ac:dyDescent="0.25">
      <c r="E54" s="19"/>
      <c r="F54" s="43"/>
      <c r="G54" s="43"/>
      <c r="H54" s="43"/>
      <c r="I54" s="19"/>
      <c r="J54" s="44"/>
      <c r="Q54" s="82" t="s">
        <v>17</v>
      </c>
      <c r="R54" s="118">
        <f>SUM(R46:R53)</f>
        <v>31078275.161593806</v>
      </c>
    </row>
    <row r="56" spans="2:18" x14ac:dyDescent="0.25">
      <c r="E56" s="118" t="s">
        <v>19</v>
      </c>
      <c r="F56" s="82" t="s">
        <v>24</v>
      </c>
      <c r="G56" s="82" t="s">
        <v>41</v>
      </c>
      <c r="H56" s="82" t="s">
        <v>290</v>
      </c>
      <c r="I56" s="82" t="s">
        <v>20</v>
      </c>
      <c r="J56" s="119" t="s">
        <v>36</v>
      </c>
      <c r="K56" s="118"/>
      <c r="L56" s="118"/>
      <c r="M56" s="118"/>
      <c r="O56" s="119" t="s">
        <v>21</v>
      </c>
      <c r="P56" s="82" t="s">
        <v>292</v>
      </c>
      <c r="Q56" s="82" t="s">
        <v>77</v>
      </c>
      <c r="R56" s="82" t="s">
        <v>42</v>
      </c>
    </row>
    <row r="57" spans="2:18" x14ac:dyDescent="0.25">
      <c r="E57" s="352" t="s">
        <v>1</v>
      </c>
      <c r="F57" s="118" t="s">
        <v>6</v>
      </c>
      <c r="G57" s="142" t="str">
        <f>G44</f>
        <v>(persona/veh)</v>
      </c>
      <c r="H57" s="142" t="str">
        <f>G57</f>
        <v>(persona/veh)</v>
      </c>
      <c r="I57" s="118" t="s">
        <v>7</v>
      </c>
      <c r="J57" s="118" t="s">
        <v>142</v>
      </c>
      <c r="K57" s="118"/>
      <c r="L57" s="118"/>
      <c r="M57" s="118"/>
      <c r="O57" s="118" t="s">
        <v>8</v>
      </c>
      <c r="P57" s="118" t="s">
        <v>11</v>
      </c>
      <c r="Q57" s="118" t="s">
        <v>287</v>
      </c>
      <c r="R57" s="118" t="s">
        <v>9</v>
      </c>
    </row>
    <row r="58" spans="2:18" ht="75" x14ac:dyDescent="0.25">
      <c r="E58" s="352"/>
      <c r="F58" s="116" t="s">
        <v>5</v>
      </c>
      <c r="G58" s="116" t="s">
        <v>112</v>
      </c>
      <c r="H58" s="116" t="s">
        <v>289</v>
      </c>
      <c r="I58" s="116" t="s">
        <v>3</v>
      </c>
      <c r="J58" s="116" t="s">
        <v>143</v>
      </c>
      <c r="K58" s="118"/>
      <c r="L58" s="118"/>
      <c r="M58" s="118"/>
      <c r="O58" s="116" t="s">
        <v>4</v>
      </c>
      <c r="P58" s="116" t="s">
        <v>10</v>
      </c>
      <c r="Q58" s="116" t="s">
        <v>288</v>
      </c>
      <c r="R58" s="116" t="s">
        <v>12</v>
      </c>
    </row>
    <row r="59" spans="2:18" x14ac:dyDescent="0.25">
      <c r="E59" s="118" t="str">
        <f>E46</f>
        <v>A</v>
      </c>
      <c r="F59" s="27">
        <f t="shared" ref="F59:G66" si="37">F46</f>
        <v>0.79800000000000004</v>
      </c>
      <c r="G59" s="121">
        <f>G46</f>
        <v>2.2799999999999998</v>
      </c>
      <c r="H59" s="121">
        <f>G59-1</f>
        <v>1.2799999999999998</v>
      </c>
      <c r="I59" s="118">
        <f>F59*$C$66</f>
        <v>4355.8829999999998</v>
      </c>
      <c r="J59" s="21">
        <f>I59*$C$62/1000</f>
        <v>361973.87729999999</v>
      </c>
      <c r="K59" s="135">
        <f>IF(AND(C64=2,C63="P"),T!$I$66,IF(AND(C64=4,C63="P"),T!$I$67,IF(AND(C64=6,C63="P"),T!$I$68,IF(AND(C64=8,C63="P"),T!$I$69,IF(AND(C64=10,C63="P"),T!$I$70,IF(AND(C64=12,C63="P"),T!$I$71,0))))))</f>
        <v>0</v>
      </c>
      <c r="L59" s="135">
        <f>IF(AND(C64=2,C63="L"),T!$J$66,IF(AND(C64=4,C63="L"),T!$J$67,IF(AND(C64=6,C63="L"),T!$J$68,IF(AND(C64=8,C63="L"),T!$J$69,IF(AND(C64=10,C63="L"),T!$J$70,IF(AND(C64=12,C63="L"),T!$J$71,0))))))</f>
        <v>60.9</v>
      </c>
      <c r="M59" s="135">
        <f>IF(AND(C64=2,C63="M"),T!$K$66,IF(AND(C64=4,C63="M"),T!$K$67,IF(AND(C64=6,C63="M"),T!$K$68,IF(AND(C64=8,C63="M"),T!$K$69,IF(AND(C64=10,C63="M"),T!$K$70,IF(AND(C64=12,C63="M"),T!$K$71,0))))))</f>
        <v>0</v>
      </c>
      <c r="O59" s="118">
        <f t="shared" ref="O59:O65" si="38">SUM(K59:M59)</f>
        <v>60.9</v>
      </c>
      <c r="P59" s="7">
        <f t="shared" ref="P59:P66" si="39">C$62*3600/(O59*1000)</f>
        <v>4912.3152709359601</v>
      </c>
      <c r="Q59" s="7">
        <f t="shared" ref="Q59:Q66" si="40">P59*I59</f>
        <v>21397470.579310343</v>
      </c>
      <c r="R59" s="118">
        <f t="shared" ref="R59:R66" si="41">Q59*H59</f>
        <v>27388762.341517236</v>
      </c>
    </row>
    <row r="60" spans="2:18" x14ac:dyDescent="0.25">
      <c r="E60" s="118" t="str">
        <f t="shared" ref="E60:E66" si="42">E47</f>
        <v xml:space="preserve"> B</v>
      </c>
      <c r="F60" s="27">
        <f t="shared" si="37"/>
        <v>3.4000000000000002E-2</v>
      </c>
      <c r="G60" s="121">
        <f t="shared" si="37"/>
        <v>12.81</v>
      </c>
      <c r="H60" s="121">
        <f t="shared" ref="H60:H66" si="43">G60-1</f>
        <v>11.81</v>
      </c>
      <c r="I60" s="118">
        <f t="shared" ref="I60:I65" si="44">F60*$C$66</f>
        <v>185.58900000000003</v>
      </c>
      <c r="J60" s="21">
        <f t="shared" ref="J60:J66" si="45">I60*$C$62/1000</f>
        <v>15422.445900000002</v>
      </c>
      <c r="K60" s="135">
        <f>IF(AND(C64=2,C63="P"),T!$I$56,IF(AND(C64=4,C63="P"),T!$I$57,IF(AND(C64=6,C63="P"),T!$I$58,IF(AND(C64=8,C63="P"),T!$I$59,IF(AND(C64=10,C63="P"),T!$I$60,IF(AND(C64=12,C63="P"),T!$I$61,0))))))</f>
        <v>0</v>
      </c>
      <c r="L60" s="135">
        <f>IF(AND(C64=2,C63="L"),T!$J$56,IF(AND(C64=4,C63="L"),T!$J$57,IF(AND(C64=6,C63="L"),T!$J$58,IF(AND(C64=8,C63="L"),T!$J$59,IF(AND(C64=10,C63="L"),T!$J$60,IF(AND(C64=12,C63="L"),T!$J$61,0))))))</f>
        <v>57.38</v>
      </c>
      <c r="M60" s="135">
        <f>IF(AND(C64=2,C63="M"),T!$K$56,IF(AND(C64=4,C63="M"),T!$K$57,IF(AND(C64=6,C63="M"),T!$K$58,IF(AND(C64=8,C63="M"),T!$K$59,IF(AND(C64=10,C63="M"),T!$K$60,IF(AND(C64=12,C63="M"),T!$K$61,0))))))</f>
        <v>0</v>
      </c>
      <c r="O60" s="118">
        <f t="shared" si="38"/>
        <v>57.38</v>
      </c>
      <c r="P60" s="7">
        <f t="shared" si="39"/>
        <v>5213.6632973161377</v>
      </c>
      <c r="Q60" s="7">
        <f t="shared" si="40"/>
        <v>967598.55768560478</v>
      </c>
      <c r="R60" s="118">
        <f t="shared" si="41"/>
        <v>11427338.966266993</v>
      </c>
    </row>
    <row r="61" spans="2:18" x14ac:dyDescent="0.25">
      <c r="B61" s="107" t="str">
        <f t="shared" ref="B61:B66" si="46">B48</f>
        <v>Tramo</v>
      </c>
      <c r="C61" s="118">
        <f>MCI!G21</f>
        <v>5</v>
      </c>
      <c r="E61" s="118" t="str">
        <f t="shared" si="42"/>
        <v>C2</v>
      </c>
      <c r="F61" s="27">
        <f t="shared" si="37"/>
        <v>7.0166666666666669E-2</v>
      </c>
      <c r="G61" s="121">
        <f t="shared" si="37"/>
        <v>1.37</v>
      </c>
      <c r="H61" s="121">
        <f t="shared" si="43"/>
        <v>0.37000000000000011</v>
      </c>
      <c r="I61" s="118">
        <f t="shared" si="44"/>
        <v>383.00475</v>
      </c>
      <c r="J61" s="21">
        <f t="shared" si="45"/>
        <v>31827.694725000001</v>
      </c>
      <c r="K61" s="135">
        <f>IF(AND(C64=2,C63="P"),T!$I$46,IF(AND(C64=4,C63="P"),T!$I$47,IF(AND(C64=6,C63="P"),T!$I$48,IF(AND(C64=8,C63="P"),T!$I$49,IF(AND(C64=10,C63="P"),T!$I$50,IF(AND(C64=12,C63="P"),T!$I$51,0))))))</f>
        <v>0</v>
      </c>
      <c r="L61" s="135">
        <f>IF(AND(C64=2,C63="L"),T!$J$46,IF(AND(C64=4,C63="L"),T!$J$47,IF(AND(C64=6,C63="L"),T!$J$48,IF(AND(C64=8,C63="L"),T!$J$49,IF(AND(C64=10,C63="L"),T!$J$50,IF(AND(C64=12,C63="L"),T!$J$51,0))))))</f>
        <v>48.37</v>
      </c>
      <c r="M61" s="135">
        <f>IF(AND(C64=2,C63="M"),T!$K$46,IF(AND(C64=4,C63="M"),T!$K$47,IF(AND(C64=6,C63="M"),T!$K$48,IF(AND(C64=8,C63="M"),T!$K$49,IF(AND(C64=10,C63="M"),T!$K$50,IF(AND(C64=12,C63="M"),T!$K$51,0))))))</f>
        <v>0</v>
      </c>
      <c r="O61" s="118">
        <f t="shared" si="38"/>
        <v>48.37</v>
      </c>
      <c r="P61" s="7">
        <f t="shared" si="39"/>
        <v>6184.8253049410796</v>
      </c>
      <c r="Q61" s="7">
        <f t="shared" si="40"/>
        <v>2368817.4697126318</v>
      </c>
      <c r="R61" s="118">
        <f t="shared" si="41"/>
        <v>876462.46379367402</v>
      </c>
    </row>
    <row r="62" spans="2:18" x14ac:dyDescent="0.25">
      <c r="B62" s="107" t="str">
        <f t="shared" si="46"/>
        <v>Longitud (km)</v>
      </c>
      <c r="C62" s="76">
        <f>MCI!G23</f>
        <v>83100</v>
      </c>
      <c r="E62" s="118" t="str">
        <f t="shared" si="42"/>
        <v>C3</v>
      </c>
      <c r="F62" s="27">
        <f t="shared" si="37"/>
        <v>2.0833333333333332E-2</v>
      </c>
      <c r="G62" s="121">
        <f t="shared" si="37"/>
        <v>1.23</v>
      </c>
      <c r="H62" s="121">
        <f t="shared" si="43"/>
        <v>0.22999999999999998</v>
      </c>
      <c r="I62" s="118">
        <f t="shared" si="44"/>
        <v>113.71875</v>
      </c>
      <c r="J62" s="21">
        <f t="shared" si="45"/>
        <v>9450.0281250000007</v>
      </c>
      <c r="K62" s="135">
        <f>IF(AND(C64=2,C63="P"),T!$I$36,IF(AND(C64=4,C63="P"),T!$I$37,IF(AND(C64=6,C63="P"),T!$I$38,IF(AND(C64=8,C63="P"),T!$I$39,IF(AND(C64=10,C63="P"),T!$I$40,IF(AND(C64=12,C63="P"),T!$I$41,0))))))</f>
        <v>0</v>
      </c>
      <c r="L62" s="135">
        <f>IF(AND(C64=2,C63="L"),T!$J$36,IF(AND(C64=4,C63="L"),T!$J$37,IF(AND(C64=6,C63="L"),T!$J$38,IF(AND(C64=8,C63="L"),T!$J$39,IF(AND(C64=10,C63="L"),T!$J$40,IF(AND(C64=12,C63="L"),T!$J$41,0))))))</f>
        <v>42.88</v>
      </c>
      <c r="M62" s="135">
        <f>IF(AND(C64=2,C63="M"),T!$K$36,IF(AND(C64=4,C63="M"),T!$K$37,IF(AND(C64=6,C63="M"),T!$K$38,IF(AND(C64=8,C63="M"),T!$K$39,IF(AND(C64=10,C63="M"),T!$K$40,IF(AND(C64=12,C63="M"),T!$K$41,0))))))</f>
        <v>0</v>
      </c>
      <c r="O62" s="118">
        <f t="shared" si="38"/>
        <v>42.88</v>
      </c>
      <c r="P62" s="7">
        <f t="shared" si="39"/>
        <v>6976.6791044776119</v>
      </c>
      <c r="Q62" s="7">
        <f t="shared" si="40"/>
        <v>793379.22691231337</v>
      </c>
      <c r="R62" s="118">
        <f t="shared" si="41"/>
        <v>182477.22218983207</v>
      </c>
    </row>
    <row r="63" spans="2:18" x14ac:dyDescent="0.25">
      <c r="B63" s="107" t="str">
        <f t="shared" si="46"/>
        <v>Tipo de terreno</v>
      </c>
      <c r="C63" s="121" t="str">
        <f>IF(MCI!G24=LISTA!A2,"P",IF(MCI!G24=LISTA!A3,"L",IF(MCI!G24=LISTA!A4,"M",0)))</f>
        <v>L</v>
      </c>
      <c r="E63" s="118" t="str">
        <f t="shared" si="42"/>
        <v>T3S2</v>
      </c>
      <c r="F63" s="27">
        <f t="shared" si="37"/>
        <v>4.8333333333333339E-2</v>
      </c>
      <c r="G63" s="121">
        <f t="shared" si="37"/>
        <v>1.1399999999999999</v>
      </c>
      <c r="H63" s="121">
        <f t="shared" si="43"/>
        <v>0.1399999999999999</v>
      </c>
      <c r="I63" s="118">
        <f t="shared" si="44"/>
        <v>263.82750000000004</v>
      </c>
      <c r="J63" s="21">
        <f t="shared" si="45"/>
        <v>21924.065250000003</v>
      </c>
      <c r="K63" s="135">
        <f>IF(AND(C64=2,C63="P"),T!$I$26,IF(AND(C64=4,C63="P"),T!$I$27,IF(AND(C64=6,C63="P"),T!$I$28,IF(AND(C64=8,C63="P"),T!$I$29,IF(AND(C64=10,C63="P"),T!$I$30,IF(AND(C64=12,C63="P"),T!$I$31,0))))))</f>
        <v>0</v>
      </c>
      <c r="L63" s="135">
        <f>IF(AND(C64=2,C63="L"),T!$J$26,IF(AND(C64=4,C63="L"),T!$J$27,IF(AND(C64=6,C63="L"),T!$J$28,IF(AND(C64=8,C63="L"),T!$J$29,IF(AND(C64=10,C63="L"),T!$J$30,IF(AND(C64=12,C63="L"),T!$J$31,0))))))</f>
        <v>42.9</v>
      </c>
      <c r="M63" s="135">
        <f>IF(AND(C64=2,C63="M"),T!$K$26,IF(AND(C64=4,C63="M"),T!$K$27,IF(AND(C64=6,C63="M"),T!$K$28,IF(AND(C64=8,C63="M"),T!$K$29,IF(AND(C64=10,C63="M"),T!$K$30,IF(AND(C64=12,C63="M"),T!$K$31,0))))))</f>
        <v>0</v>
      </c>
      <c r="O63" s="118">
        <f t="shared" si="38"/>
        <v>42.9</v>
      </c>
      <c r="P63" s="7">
        <f t="shared" si="39"/>
        <v>6973.4265734265737</v>
      </c>
      <c r="Q63" s="7">
        <f t="shared" si="40"/>
        <v>1839781.6993006996</v>
      </c>
      <c r="R63" s="118">
        <f t="shared" si="41"/>
        <v>257569.43790209776</v>
      </c>
    </row>
    <row r="64" spans="2:18" x14ac:dyDescent="0.25">
      <c r="B64" s="107" t="str">
        <f t="shared" si="46"/>
        <v>IIR</v>
      </c>
      <c r="C64" s="77">
        <f>MCI!G25</f>
        <v>8</v>
      </c>
      <c r="E64" s="118" t="str">
        <f t="shared" si="42"/>
        <v xml:space="preserve"> T3S3</v>
      </c>
      <c r="F64" s="27">
        <f t="shared" si="37"/>
        <v>1.55E-2</v>
      </c>
      <c r="G64" s="121">
        <f t="shared" si="37"/>
        <v>1.1399999999999999</v>
      </c>
      <c r="H64" s="121">
        <f t="shared" si="43"/>
        <v>0.1399999999999999</v>
      </c>
      <c r="I64" s="118">
        <f t="shared" si="44"/>
        <v>84.606750000000005</v>
      </c>
      <c r="J64" s="21">
        <f t="shared" si="45"/>
        <v>7030.8209250000009</v>
      </c>
      <c r="K64" s="135">
        <f>IF(AND(C64=2,C63="P"),T!$I$16,IF(AND(C64=4,C63="P"),T!$I$17,IF(AND(C64=6,C63="P"),T!$I$18,IF(AND(C64=8,C63="P"),T!$I$19,IF(AND(C64=10,C63="P"),T!$I$20,IF(AND(C64=12,C63="P"),T!$I$21,0))))))</f>
        <v>0</v>
      </c>
      <c r="L64" s="135">
        <f>IF(AND(C64=2,C63="L"),T!$J$16,IF(AND(C64=4,C63="L"),T!$J$17,IF(AND(C64=6,C63="L"),T!$J$18,IF(AND(C64=8,C63="L"),T!$J$19,IF(AND(C64=10,C63="L"),T!$J$20,IF(AND(C64=12,C63="L"),T!$J$21,0))))))</f>
        <v>38.799999999999997</v>
      </c>
      <c r="M64" s="135">
        <f>IF(AND(C64=2,C63="M"),T!$K$16,IF(AND(C64=4,C63="M"),T!$K$17,IF(AND(C64=6,C63="M"),T!$K$18,IF(AND(C64=8,C63="M"),T!$K$19,IF(AND(C64=10,C63="M"),T!$K$20,IF(AND(C64=12,C63="M"),T!$K$21,0))))))</f>
        <v>0</v>
      </c>
      <c r="O64" s="118">
        <f t="shared" si="38"/>
        <v>38.799999999999997</v>
      </c>
      <c r="P64" s="7">
        <f t="shared" si="39"/>
        <v>7710.3092783505153</v>
      </c>
      <c r="Q64" s="7">
        <f t="shared" si="40"/>
        <v>652344.20953608246</v>
      </c>
      <c r="R64" s="118">
        <f t="shared" si="41"/>
        <v>91328.189335051487</v>
      </c>
    </row>
    <row r="65" spans="2:18" x14ac:dyDescent="0.25">
      <c r="B65" s="107" t="str">
        <f t="shared" si="46"/>
        <v>Descripción</v>
      </c>
      <c r="C65" s="104" t="str">
        <f>MCI!G22</f>
        <v>Toluca - Jilotepec (57)</v>
      </c>
      <c r="E65" s="118" t="str">
        <f t="shared" si="42"/>
        <v xml:space="preserve"> T3S2R4</v>
      </c>
      <c r="F65" s="27">
        <f t="shared" si="37"/>
        <v>1.0166666666666666E-2</v>
      </c>
      <c r="G65" s="121">
        <f t="shared" si="37"/>
        <v>1.0900000000000001</v>
      </c>
      <c r="H65" s="121">
        <f t="shared" si="43"/>
        <v>9.000000000000008E-2</v>
      </c>
      <c r="I65" s="118">
        <f t="shared" si="44"/>
        <v>55.494749999999996</v>
      </c>
      <c r="J65" s="21">
        <f t="shared" si="45"/>
        <v>4611.6137249999992</v>
      </c>
      <c r="K65" s="135">
        <f>IF(AND(C64=2,C63="P"),T!$I$6,IF(AND(C64=4,C63="P"),T!$I$7,IF(AND(C64=6,C63="P"),T!$I$8,IF(AND(C64=8,C63="P"),T!$I$9,IF(AND(C64=10,C63="P"),T!$I$10,IF(AND(C64=12,C63="P"),T!$I$11,0))))))</f>
        <v>0</v>
      </c>
      <c r="L65" s="135">
        <f>IF(AND(C64=2,C63="L"),T!$J$6,IF(AND(C64=4,C63="L"),T!$J$7,IF(AND(C64=6,C63="L"),T!$J$8,IF(AND(C64=8,C63="L"),T!$J$9,IF(AND(C64=10,C63="L"),T!$J$10,IF(AND(C64=12,C63="L"),T!$J$11,0))))))</f>
        <v>31.77</v>
      </c>
      <c r="M65" s="135">
        <f>IF(AND(C64=2,C63="M"),T!$K$6,IF(AND(C64=4,C63="M"),T!$K$7,IF(AND(C64=6,C63="M"),T!$K$8,IF(AND(C64=8,C63="M"),T!$K$9,IF(AND(C64=10,C63="M"),T!$K$10,IF(AND(C64=12,C63="M"),T!$K$11,0))))))</f>
        <v>0</v>
      </c>
      <c r="O65" s="118">
        <f t="shared" si="38"/>
        <v>31.77</v>
      </c>
      <c r="P65" s="7">
        <f t="shared" si="39"/>
        <v>9416.4305949008503</v>
      </c>
      <c r="Q65" s="7">
        <f t="shared" si="40"/>
        <v>522562.46175637393</v>
      </c>
      <c r="R65" s="118">
        <f t="shared" si="41"/>
        <v>47030.621558073697</v>
      </c>
    </row>
    <row r="66" spans="2:18" x14ac:dyDescent="0.25">
      <c r="B66" s="107" t="str">
        <f t="shared" si="46"/>
        <v>TDPARP (vpd)</v>
      </c>
      <c r="C66" s="121">
        <f>C53</f>
        <v>5458.5</v>
      </c>
      <c r="E66" s="118" t="str">
        <f t="shared" si="42"/>
        <v xml:space="preserve"> OTROS</v>
      </c>
      <c r="F66" s="27">
        <f t="shared" si="37"/>
        <v>3.0000000000000768E-3</v>
      </c>
      <c r="G66" s="121">
        <f t="shared" si="37"/>
        <v>1.0900000000000001</v>
      </c>
      <c r="H66" s="121">
        <f t="shared" si="43"/>
        <v>9.000000000000008E-2</v>
      </c>
      <c r="I66" s="118">
        <f>F66*$C$66</f>
        <v>16.375500000000418</v>
      </c>
      <c r="J66" s="21">
        <f t="shared" si="45"/>
        <v>1360.8040500000347</v>
      </c>
      <c r="K66" s="118"/>
      <c r="L66" s="118"/>
      <c r="M66" s="118"/>
      <c r="O66" s="140">
        <f>AVERAGE(O59:O65)</f>
        <v>46.142857142857146</v>
      </c>
      <c r="P66" s="7">
        <f t="shared" si="39"/>
        <v>6483.343653250774</v>
      </c>
      <c r="Q66" s="7">
        <f t="shared" si="40"/>
        <v>106167.99399381076</v>
      </c>
      <c r="R66" s="118">
        <f t="shared" si="41"/>
        <v>9555.1194594429762</v>
      </c>
    </row>
    <row r="67" spans="2:18" x14ac:dyDescent="0.25">
      <c r="E67" s="19"/>
      <c r="F67" s="43"/>
      <c r="G67" s="43"/>
      <c r="H67" s="43"/>
      <c r="I67" s="19"/>
      <c r="J67" s="44"/>
      <c r="Q67" s="82" t="s">
        <v>17</v>
      </c>
      <c r="R67" s="118">
        <f>SUM(R59:R66)</f>
        <v>40280524.362022392</v>
      </c>
    </row>
    <row r="69" spans="2:18" x14ac:dyDescent="0.25">
      <c r="E69" s="118" t="s">
        <v>19</v>
      </c>
      <c r="F69" s="82" t="s">
        <v>24</v>
      </c>
      <c r="G69" s="82" t="s">
        <v>41</v>
      </c>
      <c r="H69" s="82" t="s">
        <v>290</v>
      </c>
      <c r="I69" s="82" t="s">
        <v>20</v>
      </c>
      <c r="J69" s="119" t="s">
        <v>36</v>
      </c>
      <c r="K69" s="118"/>
      <c r="L69" s="118"/>
      <c r="M69" s="118"/>
      <c r="O69" s="119" t="s">
        <v>21</v>
      </c>
      <c r="P69" s="82" t="s">
        <v>292</v>
      </c>
      <c r="Q69" s="82" t="s">
        <v>77</v>
      </c>
      <c r="R69" s="82" t="s">
        <v>42</v>
      </c>
    </row>
    <row r="70" spans="2:18" x14ac:dyDescent="0.25">
      <c r="E70" s="352" t="s">
        <v>1</v>
      </c>
      <c r="F70" s="118" t="s">
        <v>6</v>
      </c>
      <c r="G70" s="142" t="str">
        <f>G57</f>
        <v>(persona/veh)</v>
      </c>
      <c r="H70" s="142" t="str">
        <f>G70</f>
        <v>(persona/veh)</v>
      </c>
      <c r="I70" s="118" t="s">
        <v>7</v>
      </c>
      <c r="J70" s="118" t="s">
        <v>142</v>
      </c>
      <c r="K70" s="118"/>
      <c r="L70" s="118"/>
      <c r="M70" s="118"/>
      <c r="O70" s="118" t="s">
        <v>8</v>
      </c>
      <c r="P70" s="118" t="s">
        <v>11</v>
      </c>
      <c r="Q70" s="118" t="s">
        <v>287</v>
      </c>
      <c r="R70" s="118" t="s">
        <v>9</v>
      </c>
    </row>
    <row r="71" spans="2:18" ht="75" x14ac:dyDescent="0.25">
      <c r="E71" s="352"/>
      <c r="F71" s="116" t="s">
        <v>5</v>
      </c>
      <c r="G71" s="116" t="s">
        <v>112</v>
      </c>
      <c r="H71" s="116" t="s">
        <v>289</v>
      </c>
      <c r="I71" s="116" t="s">
        <v>3</v>
      </c>
      <c r="J71" s="116" t="s">
        <v>143</v>
      </c>
      <c r="K71" s="118"/>
      <c r="L71" s="118"/>
      <c r="M71" s="118"/>
      <c r="O71" s="116" t="s">
        <v>4</v>
      </c>
      <c r="P71" s="116" t="s">
        <v>10</v>
      </c>
      <c r="Q71" s="116" t="s">
        <v>288</v>
      </c>
      <c r="R71" s="116" t="s">
        <v>12</v>
      </c>
    </row>
    <row r="72" spans="2:18" x14ac:dyDescent="0.25">
      <c r="E72" s="118" t="str">
        <f>E59</f>
        <v>A</v>
      </c>
      <c r="F72" s="27">
        <f t="shared" ref="F72:G79" si="47">F59</f>
        <v>0.79800000000000004</v>
      </c>
      <c r="G72" s="121">
        <f>G59</f>
        <v>2.2799999999999998</v>
      </c>
      <c r="H72" s="121">
        <f>G72-1</f>
        <v>1.2799999999999998</v>
      </c>
      <c r="I72" s="118">
        <f>F72*$C$79</f>
        <v>4355.8829999999998</v>
      </c>
      <c r="J72" s="21">
        <f>I72*$C$75/1000</f>
        <v>170315.02529999998</v>
      </c>
      <c r="K72" s="135">
        <f>IF(AND(C77=2,C76="P"),T!$I$66,IF(AND(C77=4,C76="P"),T!$I$67,IF(AND(C77=6,C76="P"),T!$I$68,IF(AND(C77=8,C76="P"),T!$I$69,IF(AND(C77=10,C76="P"),T!$I$70,IF(AND(C77=12,C76="P"),T!$I$71,0))))))</f>
        <v>0</v>
      </c>
      <c r="L72" s="135">
        <f>IF(AND(C77=2,C76="L"),T!$J$66,IF(AND(C77=4,C76="L"),T!$J$67,IF(AND(C77=6,C76="L"),T!$J$68,IF(AND(C77=8,C76="L"),T!$J$69,IF(AND(C77=10,C76="L"),T!$J$70,IF(AND(C77=12,C76="L"),T!$J$71,0))))))</f>
        <v>65.94</v>
      </c>
      <c r="M72" s="135">
        <f>IF(AND(C77=2,C76="M"),T!$K$66,IF(AND(C77=4,C76="M"),T!$K$67,IF(AND(C77=6,C76="M"),T!$K$68,IF(AND(C77=8,C76="M"),T!$K$69,IF(AND(C77=10,C76="M"),T!$K$70,IF(AND(C77=12,C76="M"),T!$K$71,0))))))</f>
        <v>0</v>
      </c>
      <c r="O72" s="118">
        <f t="shared" ref="O72:O78" si="48">SUM(K72:M72)</f>
        <v>65.94</v>
      </c>
      <c r="P72" s="7">
        <f t="shared" ref="P72:P79" si="49">C$75*3600/(O72*1000)</f>
        <v>2134.6678798908097</v>
      </c>
      <c r="Q72" s="7">
        <f t="shared" ref="Q72:Q79" si="50">P72*I72</f>
        <v>9298363.5286624189</v>
      </c>
      <c r="R72" s="118">
        <f t="shared" ref="R72:R79" si="51">Q72*H72</f>
        <v>11901905.316687895</v>
      </c>
    </row>
    <row r="73" spans="2:18" x14ac:dyDescent="0.25">
      <c r="E73" s="118" t="str">
        <f t="shared" ref="E73:E79" si="52">E60</f>
        <v xml:space="preserve"> B</v>
      </c>
      <c r="F73" s="27">
        <f t="shared" si="47"/>
        <v>3.4000000000000002E-2</v>
      </c>
      <c r="G73" s="121">
        <f t="shared" si="47"/>
        <v>12.81</v>
      </c>
      <c r="H73" s="121">
        <f t="shared" ref="H73:H79" si="53">G73-1</f>
        <v>11.81</v>
      </c>
      <c r="I73" s="118">
        <f t="shared" ref="I73:I78" si="54">F73*$C$79</f>
        <v>185.58900000000003</v>
      </c>
      <c r="J73" s="21">
        <f t="shared" ref="J73:J79" si="55">I73*$C$75/1000</f>
        <v>7256.5299000000014</v>
      </c>
      <c r="K73" s="135">
        <f>IF(AND(C77=2,C76="P"),T!$I$56,IF(AND(C77=4,C76="P"),T!$I$57,IF(AND(C77=6,C76="P"),T!$I$58,IF(AND(C77=8,C76="P"),T!$I$59,IF(AND(C77=10,C76="P"),T!$I$60,IF(AND(C77=12,C76="P"),T!$I$61,0))))))</f>
        <v>0</v>
      </c>
      <c r="L73" s="135">
        <f>IF(AND(C77=2,C76="L"),T!$J$56,IF(AND(C77=4,C76="L"),T!$J$57,IF(AND(C77=6,C76="L"),T!$J$58,IF(AND(C77=8,C76="L"),T!$J$59,IF(AND(C77=10,C76="L"),T!$J$60,IF(AND(C77=12,C76="L"),T!$J$61,0))))))</f>
        <v>62.12</v>
      </c>
      <c r="M73" s="135">
        <f>IF(AND(C77=2,C76="M"),T!$K$56,IF(AND(C77=4,C76="M"),T!$K$57,IF(AND(C77=6,C76="M"),T!$K$58,IF(AND(C77=8,C76="M"),T!$K$59,IF(AND(C77=10,C76="M"),T!$K$60,IF(AND(C77=12,C76="M"),T!$K$61,0))))))</f>
        <v>0</v>
      </c>
      <c r="O73" s="118">
        <f t="shared" si="48"/>
        <v>62.12</v>
      </c>
      <c r="P73" s="7">
        <f t="shared" si="49"/>
        <v>2265.9368963296843</v>
      </c>
      <c r="Q73" s="7">
        <f t="shared" si="50"/>
        <v>420532.96265292983</v>
      </c>
      <c r="R73" s="118">
        <f t="shared" si="51"/>
        <v>4966494.2889311016</v>
      </c>
    </row>
    <row r="74" spans="2:18" x14ac:dyDescent="0.25">
      <c r="B74" s="107" t="str">
        <f t="shared" ref="B74:B79" si="56">B61</f>
        <v>Tramo</v>
      </c>
      <c r="C74" s="118">
        <f>MCI!H21</f>
        <v>6</v>
      </c>
      <c r="E74" s="118" t="str">
        <f t="shared" si="52"/>
        <v>C2</v>
      </c>
      <c r="F74" s="27">
        <f t="shared" si="47"/>
        <v>7.0166666666666669E-2</v>
      </c>
      <c r="G74" s="121">
        <f t="shared" si="47"/>
        <v>1.37</v>
      </c>
      <c r="H74" s="121">
        <f t="shared" si="53"/>
        <v>0.37000000000000011</v>
      </c>
      <c r="I74" s="118">
        <f t="shared" si="54"/>
        <v>383.00475</v>
      </c>
      <c r="J74" s="21">
        <f t="shared" si="55"/>
        <v>14975.485725</v>
      </c>
      <c r="K74" s="135">
        <f>IF(AND(C77=2,C76="P"),T!$I$46,IF(AND(C77=4,C76="P"),T!$I$47,IF(AND(C77=6,C76="P"),T!$I$48,IF(AND(C77=8,C76="P"),T!$I$49,IF(AND(C77=10,C76="P"),T!$I$50,IF(AND(C77=12,C76="P"),T!$I$51,0))))))</f>
        <v>0</v>
      </c>
      <c r="L74" s="135">
        <f>IF(AND(C77=2,C76="L"),T!$J$46,IF(AND(C77=4,C76="L"),T!$J$47,IF(AND(C77=6,C76="L"),T!$J$48,IF(AND(C77=8,C76="L"),T!$J$49,IF(AND(C77=10,C76="L"),T!$J$50,IF(AND(C77=12,C76="L"),T!$J$51,0))))))</f>
        <v>53.77</v>
      </c>
      <c r="M74" s="135">
        <f>IF(AND(C77=2,C76="M"),T!$K$46,IF(AND(C77=4,C76="M"),T!$K$47,IF(AND(C77=6,C76="M"),T!$K$48,IF(AND(C77=8,C76="M"),T!$K$49,IF(AND(C77=10,C76="M"),T!$K$50,IF(AND(C77=12,C76="M"),T!$K$51,0))))))</f>
        <v>0</v>
      </c>
      <c r="O74" s="118">
        <f t="shared" si="48"/>
        <v>53.77</v>
      </c>
      <c r="P74" s="7">
        <f t="shared" si="49"/>
        <v>2617.8166263715825</v>
      </c>
      <c r="Q74" s="7">
        <f t="shared" si="50"/>
        <v>1002636.2025292914</v>
      </c>
      <c r="R74" s="118">
        <f t="shared" si="51"/>
        <v>370975.39493583795</v>
      </c>
    </row>
    <row r="75" spans="2:18" x14ac:dyDescent="0.25">
      <c r="B75" s="107" t="str">
        <f t="shared" si="56"/>
        <v>Longitud (km)</v>
      </c>
      <c r="C75" s="76">
        <f>MCI!H23</f>
        <v>39100</v>
      </c>
      <c r="E75" s="118" t="str">
        <f t="shared" si="52"/>
        <v>C3</v>
      </c>
      <c r="F75" s="27">
        <f t="shared" si="47"/>
        <v>2.0833333333333332E-2</v>
      </c>
      <c r="G75" s="121">
        <f t="shared" si="47"/>
        <v>1.23</v>
      </c>
      <c r="H75" s="121">
        <f t="shared" si="53"/>
        <v>0.22999999999999998</v>
      </c>
      <c r="I75" s="118">
        <f t="shared" si="54"/>
        <v>113.71875</v>
      </c>
      <c r="J75" s="21">
        <f t="shared" si="55"/>
        <v>4446.4031249999998</v>
      </c>
      <c r="K75" s="135">
        <f>IF(AND(C77=2,C76="P"),T!$I$36,IF(AND(C77=4,C76="P"),T!$I$37,IF(AND(C77=6,C76="P"),T!$I$38,IF(AND(C77=8,C76="P"),T!$I$39,IF(AND(C77=10,C76="P"),T!$I$40,IF(AND(C77=12,C76="P"),T!$I$41,0))))))</f>
        <v>0</v>
      </c>
      <c r="L75" s="135">
        <f>IF(AND(C77=2,C76="L"),T!$J$36,IF(AND(C77=4,C76="L"),T!$J$37,IF(AND(C77=6,C76="L"),T!$J$38,IF(AND(C77=8,C76="L"),T!$J$39,IF(AND(C77=10,C76="L"),T!$J$40,IF(AND(C77=12,C76="L"),T!$J$41,0))))))</f>
        <v>46.26</v>
      </c>
      <c r="M75" s="135">
        <f>IF(AND(C77=2,C76="M"),T!$K$36,IF(AND(C77=4,C76="M"),T!$K$37,IF(AND(C77=6,C76="M"),T!$K$38,IF(AND(C77=8,C76="M"),T!$K$39,IF(AND(C77=10,C76="M"),T!$K$40,IF(AND(C77=12,C76="M"),T!$K$41,0))))))</f>
        <v>0</v>
      </c>
      <c r="O75" s="118">
        <f t="shared" si="48"/>
        <v>46.26</v>
      </c>
      <c r="P75" s="7">
        <f t="shared" si="49"/>
        <v>3042.8015564202333</v>
      </c>
      <c r="Q75" s="7">
        <f t="shared" si="50"/>
        <v>346023.5894941634</v>
      </c>
      <c r="R75" s="118">
        <f t="shared" si="51"/>
        <v>79585.425583657576</v>
      </c>
    </row>
    <row r="76" spans="2:18" x14ac:dyDescent="0.25">
      <c r="B76" s="107" t="str">
        <f t="shared" si="56"/>
        <v>Tipo de terreno</v>
      </c>
      <c r="C76" s="121" t="str">
        <f>IF(MCI!H24=LISTA!A2,"P",IF(MCI!H24=LISTA!A3,"L",IF(MCI!H24=LISTA!A4,"M",0)))</f>
        <v>L</v>
      </c>
      <c r="E76" s="118" t="str">
        <f t="shared" si="52"/>
        <v>T3S2</v>
      </c>
      <c r="F76" s="27">
        <f t="shared" si="47"/>
        <v>4.8333333333333339E-2</v>
      </c>
      <c r="G76" s="121">
        <f t="shared" si="47"/>
        <v>1.1399999999999999</v>
      </c>
      <c r="H76" s="121">
        <f t="shared" si="53"/>
        <v>0.1399999999999999</v>
      </c>
      <c r="I76" s="118">
        <f t="shared" si="54"/>
        <v>263.82750000000004</v>
      </c>
      <c r="J76" s="21">
        <f t="shared" si="55"/>
        <v>10315.655250000002</v>
      </c>
      <c r="K76" s="135">
        <f>IF(AND(C77=2,C76="P"),T!$I$26,IF(AND(C77=4,C76="P"),T!$I$27,IF(AND(C77=6,C76="P"),T!$I$28,IF(AND(C77=8,C76="P"),T!$I$29,IF(AND(C77=10,C76="P"),T!$I$30,IF(AND(C77=12,C76="P"),T!$I$31,0))))))</f>
        <v>0</v>
      </c>
      <c r="L76" s="135">
        <f>IF(AND(C77=2,C76="L"),T!$J$26,IF(AND(C77=4,C76="L"),T!$J$27,IF(AND(C77=6,C76="L"),T!$J$28,IF(AND(C77=8,C76="L"),T!$J$29,IF(AND(C77=10,C76="L"),T!$J$30,IF(AND(C77=12,C76="L"),T!$J$31,0))))))</f>
        <v>50.12</v>
      </c>
      <c r="M76" s="135">
        <f>IF(AND(C77=2,C76="M"),T!$K$26,IF(AND(C77=4,C76="M"),T!$K$27,IF(AND(C77=6,C76="M"),T!$K$28,IF(AND(C77=8,C76="M"),T!$K$29,IF(AND(C77=10,C76="M"),T!$K$30,IF(AND(C77=12,C76="M"),T!$K$31,0))))))</f>
        <v>0</v>
      </c>
      <c r="O76" s="118">
        <f t="shared" si="48"/>
        <v>50.12</v>
      </c>
      <c r="P76" s="7">
        <f t="shared" si="49"/>
        <v>2808.459696727853</v>
      </c>
      <c r="Q76" s="7">
        <f t="shared" si="50"/>
        <v>740948.90063846775</v>
      </c>
      <c r="R76" s="118">
        <f t="shared" si="51"/>
        <v>103732.84608938541</v>
      </c>
    </row>
    <row r="77" spans="2:18" x14ac:dyDescent="0.25">
      <c r="B77" s="107" t="str">
        <f t="shared" si="56"/>
        <v>IIR</v>
      </c>
      <c r="C77" s="77">
        <f>MCI!H25</f>
        <v>4</v>
      </c>
      <c r="E77" s="118" t="str">
        <f t="shared" si="52"/>
        <v xml:space="preserve"> T3S3</v>
      </c>
      <c r="F77" s="27">
        <f t="shared" si="47"/>
        <v>1.55E-2</v>
      </c>
      <c r="G77" s="121">
        <f t="shared" si="47"/>
        <v>1.1399999999999999</v>
      </c>
      <c r="H77" s="121">
        <f t="shared" si="53"/>
        <v>0.1399999999999999</v>
      </c>
      <c r="I77" s="118">
        <f t="shared" si="54"/>
        <v>84.606750000000005</v>
      </c>
      <c r="J77" s="21">
        <f t="shared" si="55"/>
        <v>3308.1239250000003</v>
      </c>
      <c r="K77" s="135">
        <f>IF(AND(C77=2,C76="P"),T!$I$16,IF(AND(C77=4,C76="P"),T!$I$17,IF(AND(C77=6,C76="P"),T!$I$18,IF(AND(C77=8,C76="P"),T!$I$19,IF(AND(C77=10,C76="P"),T!$I$20,IF(AND(C77=12,C76="P"),T!$I$21,0))))))</f>
        <v>0</v>
      </c>
      <c r="L77" s="135">
        <f>IF(AND(C77=2,C76="L"),T!$J$16,IF(AND(C77=4,C76="L"),T!$J$17,IF(AND(C77=6,C76="L"),T!$J$18,IF(AND(C77=8,C76="L"),T!$J$19,IF(AND(C77=10,C76="L"),T!$J$20,IF(AND(C77=12,C76="L"),T!$J$21,0))))))</f>
        <v>43.36</v>
      </c>
      <c r="M77" s="135">
        <f>IF(AND(C77=2,C76="M"),T!$K$16,IF(AND(C77=4,C76="M"),T!$K$17,IF(AND(C77=6,C76="M"),T!$K$18,IF(AND(C77=8,C76="M"),T!$K$19,IF(AND(C77=10,C76="M"),T!$K$20,IF(AND(C77=12,C76="M"),T!$K$21,0))))))</f>
        <v>0</v>
      </c>
      <c r="O77" s="118">
        <f t="shared" si="48"/>
        <v>43.36</v>
      </c>
      <c r="P77" s="7">
        <f t="shared" si="49"/>
        <v>3246.3099630996312</v>
      </c>
      <c r="Q77" s="7">
        <f t="shared" si="50"/>
        <v>274659.73547047976</v>
      </c>
      <c r="R77" s="118">
        <f t="shared" si="51"/>
        <v>38452.362965867142</v>
      </c>
    </row>
    <row r="78" spans="2:18" x14ac:dyDescent="0.25">
      <c r="B78" s="107" t="str">
        <f t="shared" si="56"/>
        <v>Descripción</v>
      </c>
      <c r="C78" s="104" t="str">
        <f>MCI!H22</f>
        <v>Acambay - Jilotepec (40D)</v>
      </c>
      <c r="E78" s="118" t="str">
        <f t="shared" si="52"/>
        <v xml:space="preserve"> T3S2R4</v>
      </c>
      <c r="F78" s="27">
        <f t="shared" si="47"/>
        <v>1.0166666666666666E-2</v>
      </c>
      <c r="G78" s="121">
        <f t="shared" si="47"/>
        <v>1.0900000000000001</v>
      </c>
      <c r="H78" s="121">
        <f t="shared" si="53"/>
        <v>9.000000000000008E-2</v>
      </c>
      <c r="I78" s="118">
        <f t="shared" si="54"/>
        <v>55.494749999999996</v>
      </c>
      <c r="J78" s="21">
        <f t="shared" si="55"/>
        <v>2169.8447249999995</v>
      </c>
      <c r="K78" s="135">
        <f>IF(AND(C77=2,C76="P"),T!$I$6,IF(AND(C77=4,C76="P"),T!$I$7,IF(AND(C77=6,C76="P"),T!$I$8,IF(AND(C77=8,C76="P"),T!$I$9,IF(AND(C77=10,C76="P"),T!$I$10,IF(AND(C77=12,C76="P"),T!$I$11,0))))))</f>
        <v>0</v>
      </c>
      <c r="L78" s="135">
        <f>IF(AND(C77=2,C76="L"),T!$J$6,IF(AND(C77=4,C76="L"),T!$J$7,IF(AND(C77=6,C76="L"),T!$J$8,IF(AND(C77=8,C76="L"),T!$J$9,IF(AND(C77=10,C76="L"),T!$J$10,IF(AND(C77=12,C76="L"),T!$J$11,0))))))</f>
        <v>34</v>
      </c>
      <c r="M78" s="135">
        <f>IF(AND(C77=2,C76="M"),T!$K$6,IF(AND(C77=4,C76="M"),T!$K$7,IF(AND(C77=6,C76="M"),T!$K$8,IF(AND(C77=8,C76="M"),T!$K$9,IF(AND(C77=10,C76="M"),T!$K$10,IF(AND(C77=12,C76="M"),T!$K$11,0))))))</f>
        <v>0</v>
      </c>
      <c r="O78" s="118">
        <f t="shared" si="48"/>
        <v>34</v>
      </c>
      <c r="P78" s="7">
        <f t="shared" si="49"/>
        <v>4140</v>
      </c>
      <c r="Q78" s="7">
        <f t="shared" si="50"/>
        <v>229748.26499999998</v>
      </c>
      <c r="R78" s="118">
        <f t="shared" si="51"/>
        <v>20677.343850000016</v>
      </c>
    </row>
    <row r="79" spans="2:18" x14ac:dyDescent="0.25">
      <c r="B79" s="107" t="str">
        <f t="shared" si="56"/>
        <v>TDPARP (vpd)</v>
      </c>
      <c r="C79" s="121">
        <f>C66</f>
        <v>5458.5</v>
      </c>
      <c r="E79" s="118" t="str">
        <f t="shared" si="52"/>
        <v xml:space="preserve"> OTROS</v>
      </c>
      <c r="F79" s="27">
        <f t="shared" si="47"/>
        <v>3.0000000000000768E-3</v>
      </c>
      <c r="G79" s="121">
        <f t="shared" si="47"/>
        <v>1.0900000000000001</v>
      </c>
      <c r="H79" s="121">
        <f t="shared" si="53"/>
        <v>9.000000000000008E-2</v>
      </c>
      <c r="I79" s="118">
        <f>F79*$C$79</f>
        <v>16.375500000000418</v>
      </c>
      <c r="J79" s="21">
        <f t="shared" si="55"/>
        <v>640.2820500000164</v>
      </c>
      <c r="K79" s="118"/>
      <c r="L79" s="118"/>
      <c r="M79" s="118"/>
      <c r="O79" s="140">
        <f>AVERAGE(O72:O78)</f>
        <v>50.795714285714283</v>
      </c>
      <c r="P79" s="7">
        <f t="shared" si="49"/>
        <v>2771.0999240655851</v>
      </c>
      <c r="Q79" s="7">
        <f t="shared" si="50"/>
        <v>45378.146806537145</v>
      </c>
      <c r="R79" s="118">
        <f t="shared" si="51"/>
        <v>4084.0332125883465</v>
      </c>
    </row>
    <row r="80" spans="2:18" x14ac:dyDescent="0.25">
      <c r="E80" s="19"/>
      <c r="F80" s="43"/>
      <c r="G80" s="43"/>
      <c r="H80" s="43"/>
      <c r="I80" s="19"/>
      <c r="J80" s="44"/>
      <c r="Q80" s="82" t="s">
        <v>17</v>
      </c>
      <c r="R80" s="118">
        <f>SUM(R72:R79)</f>
        <v>17485907.012256335</v>
      </c>
    </row>
    <row r="82" spans="2:18" x14ac:dyDescent="0.25">
      <c r="E82" s="118" t="s">
        <v>19</v>
      </c>
      <c r="F82" s="82" t="s">
        <v>24</v>
      </c>
      <c r="G82" s="82" t="s">
        <v>41</v>
      </c>
      <c r="H82" s="82" t="s">
        <v>290</v>
      </c>
      <c r="I82" s="82" t="s">
        <v>20</v>
      </c>
      <c r="J82" s="119" t="s">
        <v>36</v>
      </c>
      <c r="K82" s="118"/>
      <c r="L82" s="118"/>
      <c r="M82" s="118"/>
      <c r="O82" s="119" t="s">
        <v>21</v>
      </c>
      <c r="P82" s="82" t="s">
        <v>292</v>
      </c>
      <c r="Q82" s="82" t="s">
        <v>77</v>
      </c>
      <c r="R82" s="82" t="s">
        <v>42</v>
      </c>
    </row>
    <row r="83" spans="2:18" x14ac:dyDescent="0.25">
      <c r="E83" s="352" t="s">
        <v>1</v>
      </c>
      <c r="F83" s="118" t="s">
        <v>6</v>
      </c>
      <c r="G83" s="142" t="str">
        <f>G70</f>
        <v>(persona/veh)</v>
      </c>
      <c r="H83" s="142" t="str">
        <f>G83</f>
        <v>(persona/veh)</v>
      </c>
      <c r="I83" s="118" t="s">
        <v>7</v>
      </c>
      <c r="J83" s="118" t="s">
        <v>142</v>
      </c>
      <c r="K83" s="118"/>
      <c r="L83" s="118"/>
      <c r="M83" s="118"/>
      <c r="O83" s="118" t="s">
        <v>8</v>
      </c>
      <c r="P83" s="118" t="s">
        <v>11</v>
      </c>
      <c r="Q83" s="118" t="s">
        <v>287</v>
      </c>
      <c r="R83" s="118" t="s">
        <v>9</v>
      </c>
    </row>
    <row r="84" spans="2:18" ht="75" x14ac:dyDescent="0.25">
      <c r="E84" s="352"/>
      <c r="F84" s="116" t="s">
        <v>5</v>
      </c>
      <c r="G84" s="116" t="s">
        <v>112</v>
      </c>
      <c r="H84" s="116" t="s">
        <v>289</v>
      </c>
      <c r="I84" s="116" t="s">
        <v>3</v>
      </c>
      <c r="J84" s="116" t="s">
        <v>143</v>
      </c>
      <c r="K84" s="118"/>
      <c r="L84" s="118"/>
      <c r="M84" s="118"/>
      <c r="O84" s="116" t="s">
        <v>4</v>
      </c>
      <c r="P84" s="116" t="s">
        <v>10</v>
      </c>
      <c r="Q84" s="116" t="s">
        <v>288</v>
      </c>
      <c r="R84" s="116" t="s">
        <v>12</v>
      </c>
    </row>
    <row r="85" spans="2:18" x14ac:dyDescent="0.25">
      <c r="E85" s="118" t="str">
        <f>E72</f>
        <v>A</v>
      </c>
      <c r="F85" s="27">
        <f t="shared" ref="F85:G92" si="57">F72</f>
        <v>0.79800000000000004</v>
      </c>
      <c r="G85" s="121">
        <f>G72</f>
        <v>2.2799999999999998</v>
      </c>
      <c r="H85" s="121">
        <f>G85-1</f>
        <v>1.2799999999999998</v>
      </c>
      <c r="I85" s="118">
        <f>F85*$C$92</f>
        <v>4355.8829999999998</v>
      </c>
      <c r="J85" s="21">
        <f>I85*$C$88/1000</f>
        <v>292715.33759999997</v>
      </c>
      <c r="K85" s="135">
        <f>IF(AND(C90=2,C89="P"),T!$I$66,IF(AND(C90=4,C89="P"),T!$I$67,IF(AND(C90=6,C89="P"),T!$I$68,IF(AND(C90=8,C89="P"),T!$I$69,IF(AND(C90=10,C89="P"),T!$I$70,IF(AND(C90=12,C89="P"),T!$I$71,0))))))</f>
        <v>0</v>
      </c>
      <c r="L85" s="135">
        <f>IF(AND(C90=2,C89="L"),T!$J$66,IF(AND(C90=4,C89="L"),T!$J$67,IF(AND(C90=6,C89="L"),T!$J$68,IF(AND(C90=8,C89="L"),T!$J$69,IF(AND(C90=10,C89="L"),T!$J$70,IF(AND(C90=12,C89="L"),T!$J$71,0))))))</f>
        <v>66.72</v>
      </c>
      <c r="M85" s="135">
        <f>IF(AND(C90=2,C89="M"),T!$K$66,IF(AND(C90=4,C89="M"),T!$K$67,IF(AND(C90=6,C89="M"),T!$K$68,IF(AND(C90=8,C89="M"),T!$K$69,IF(AND(C90=10,C89="M"),T!$K$70,IF(AND(C90=12,C89="M"),T!$K$71,0))))))</f>
        <v>0</v>
      </c>
      <c r="O85" s="118">
        <f t="shared" ref="O85:O91" si="58">SUM(K85:M85)</f>
        <v>66.72</v>
      </c>
      <c r="P85" s="7">
        <f t="shared" ref="P85:P92" si="59">C$88*3600/(O85*1000)</f>
        <v>3625.8992805755397</v>
      </c>
      <c r="Q85" s="7">
        <f t="shared" ref="Q85:Q92" si="60">P85*I85</f>
        <v>15793993.035971222</v>
      </c>
      <c r="R85" s="118">
        <f t="shared" ref="R85:R92" si="61">Q85*H85</f>
        <v>20216311.08604316</v>
      </c>
    </row>
    <row r="86" spans="2:18" x14ac:dyDescent="0.25">
      <c r="E86" s="118" t="str">
        <f t="shared" ref="E86:E92" si="62">E73</f>
        <v xml:space="preserve"> B</v>
      </c>
      <c r="F86" s="27">
        <f t="shared" si="57"/>
        <v>3.4000000000000002E-2</v>
      </c>
      <c r="G86" s="121">
        <f t="shared" si="57"/>
        <v>12.81</v>
      </c>
      <c r="H86" s="121">
        <f t="shared" ref="H86:H92" si="63">G86-1</f>
        <v>11.81</v>
      </c>
      <c r="I86" s="118">
        <f t="shared" ref="I86:I91" si="64">F86*$C$92</f>
        <v>185.58900000000003</v>
      </c>
      <c r="J86" s="21">
        <f t="shared" ref="J86:J92" si="65">I86*$C$88/1000</f>
        <v>12471.580800000003</v>
      </c>
      <c r="K86" s="135">
        <f>IF(AND(C90=2,C89="P"),T!$I$56,IF(AND(C90=4,C89="P"),T!$I$57,IF(AND(C90=6,C89="P"),T!$I$58,IF(AND(C90=8,C89="P"),T!$I$59,IF(AND(C90=10,C89="P"),T!$I$60,IF(AND(C90=12,C89="P"),T!$I$61,0))))))</f>
        <v>0</v>
      </c>
      <c r="L86" s="135">
        <f>IF(AND(C90=2,C89="L"),T!$J$56,IF(AND(C90=4,C89="L"),T!$J$57,IF(AND(C90=6,C89="L"),T!$J$58,IF(AND(C90=8,C89="L"),T!$J$59,IF(AND(C90=10,C89="L"),T!$J$60,IF(AND(C90=12,C89="L"),T!$J$61,0))))))</f>
        <v>62.78</v>
      </c>
      <c r="M86" s="135">
        <f>IF(AND(C90=2,C89="M"),T!$K$56,IF(AND(C90=4,C89="M"),T!$K$57,IF(AND(C90=6,C89="M"),T!$K$58,IF(AND(C90=8,C89="M"),T!$K$59,IF(AND(C90=10,C89="M"),T!$K$60,IF(AND(C90=12,C89="M"),T!$K$61,0))))))</f>
        <v>0</v>
      </c>
      <c r="O86" s="118">
        <f t="shared" si="58"/>
        <v>62.78</v>
      </c>
      <c r="P86" s="7">
        <f t="shared" si="59"/>
        <v>3853.4565148136348</v>
      </c>
      <c r="Q86" s="7">
        <f t="shared" si="60"/>
        <v>715159.14112774783</v>
      </c>
      <c r="R86" s="118">
        <f t="shared" si="61"/>
        <v>8446029.4567187019</v>
      </c>
    </row>
    <row r="87" spans="2:18" x14ac:dyDescent="0.25">
      <c r="B87" s="107" t="str">
        <f t="shared" ref="B87:B92" si="66">B74</f>
        <v>Tramo</v>
      </c>
      <c r="C87" s="118">
        <f>MCI!I21</f>
        <v>7</v>
      </c>
      <c r="E87" s="118" t="str">
        <f t="shared" si="62"/>
        <v>C2</v>
      </c>
      <c r="F87" s="27">
        <f t="shared" si="57"/>
        <v>7.0166666666666669E-2</v>
      </c>
      <c r="G87" s="121">
        <f t="shared" si="57"/>
        <v>1.37</v>
      </c>
      <c r="H87" s="121">
        <f t="shared" si="63"/>
        <v>0.37000000000000011</v>
      </c>
      <c r="I87" s="118">
        <f t="shared" si="64"/>
        <v>383.00475</v>
      </c>
      <c r="J87" s="21">
        <f t="shared" si="65"/>
        <v>25737.9192</v>
      </c>
      <c r="K87" s="135">
        <f>IF(AND(C90=2,C89="P"),T!$I$46,IF(AND(C90=4,C89="P"),T!$I$47,IF(AND(C90=6,C89="P"),T!$I$48,IF(AND(C90=8,C89="P"),T!$I$49,IF(AND(C90=10,C89="P"),T!$I$50,IF(AND(C90=12,C89="P"),T!$I$51,0))))))</f>
        <v>0</v>
      </c>
      <c r="L87" s="135">
        <f>IF(AND(C90=2,C89="L"),T!$J$46,IF(AND(C90=4,C89="L"),T!$J$47,IF(AND(C90=6,C89="L"),T!$J$48,IF(AND(C90=8,C89="L"),T!$J$49,IF(AND(C90=10,C89="L"),T!$J$50,IF(AND(C90=12,C89="L"),T!$J$51,0))))))</f>
        <v>54.69</v>
      </c>
      <c r="M87" s="135">
        <f>IF(AND(C90=2,C89="M"),T!$K$46,IF(AND(C90=4,C89="M"),T!$K$47,IF(AND(C90=6,C89="M"),T!$K$48,IF(AND(C90=8,C89="M"),T!$K$49,IF(AND(C90=10,C89="M"),T!$K$50,IF(AND(C90=12,C89="M"),T!$K$51,0))))))</f>
        <v>0</v>
      </c>
      <c r="O87" s="118">
        <f t="shared" si="58"/>
        <v>54.69</v>
      </c>
      <c r="P87" s="7">
        <f t="shared" si="59"/>
        <v>4423.4777838727368</v>
      </c>
      <c r="Q87" s="7">
        <f t="shared" si="60"/>
        <v>1694213.0027427317</v>
      </c>
      <c r="R87" s="118">
        <f t="shared" si="61"/>
        <v>626858.81101481093</v>
      </c>
    </row>
    <row r="88" spans="2:18" x14ac:dyDescent="0.25">
      <c r="B88" s="107" t="str">
        <f t="shared" si="66"/>
        <v>Longitud (km)</v>
      </c>
      <c r="C88" s="76">
        <f>MCI!I23</f>
        <v>67200</v>
      </c>
      <c r="E88" s="118" t="str">
        <f t="shared" si="62"/>
        <v>C3</v>
      </c>
      <c r="F88" s="27">
        <f t="shared" si="57"/>
        <v>2.0833333333333332E-2</v>
      </c>
      <c r="G88" s="121">
        <f t="shared" si="57"/>
        <v>1.23</v>
      </c>
      <c r="H88" s="121">
        <f t="shared" si="63"/>
        <v>0.22999999999999998</v>
      </c>
      <c r="I88" s="118">
        <f t="shared" si="64"/>
        <v>113.71875</v>
      </c>
      <c r="J88" s="21">
        <f t="shared" si="65"/>
        <v>7641.9</v>
      </c>
      <c r="K88" s="135">
        <f>IF(AND(C90=2,C89="P"),T!$I$36,IF(AND(C90=4,C89="P"),T!$I$37,IF(AND(C90=6,C89="P"),T!$I$38,IF(AND(C90=8,C89="P"),T!$I$39,IF(AND(C90=10,C89="P"),T!$I$40,IF(AND(C90=12,C89="P"),T!$I$41,0))))))</f>
        <v>0</v>
      </c>
      <c r="L88" s="135">
        <f>IF(AND(C90=2,C89="L"),T!$J$36,IF(AND(C90=4,C89="L"),T!$J$37,IF(AND(C90=6,C89="L"),T!$J$38,IF(AND(C90=8,C89="L"),T!$J$39,IF(AND(C90=10,C89="L"),T!$J$40,IF(AND(C90=12,C89="L"),T!$J$41,0))))))</f>
        <v>46.88</v>
      </c>
      <c r="M88" s="135">
        <f>IF(AND(C90=2,C89="M"),T!$K$36,IF(AND(C90=4,C89="M"),T!$K$37,IF(AND(C90=6,C89="M"),T!$K$38,IF(AND(C90=8,C89="M"),T!$K$39,IF(AND(C90=10,C89="M"),T!$K$40,IF(AND(C90=12,C89="M"),T!$K$41,0))))))</f>
        <v>0</v>
      </c>
      <c r="O88" s="118">
        <f t="shared" si="58"/>
        <v>46.88</v>
      </c>
      <c r="P88" s="7">
        <f t="shared" si="59"/>
        <v>5160.4095563139936</v>
      </c>
      <c r="Q88" s="7">
        <f t="shared" si="60"/>
        <v>586835.324232082</v>
      </c>
      <c r="R88" s="118">
        <f t="shared" si="61"/>
        <v>134972.12457337885</v>
      </c>
    </row>
    <row r="89" spans="2:18" x14ac:dyDescent="0.25">
      <c r="B89" s="107" t="str">
        <f t="shared" si="66"/>
        <v>Tipo de terreno</v>
      </c>
      <c r="C89" s="121" t="str">
        <f>IF(MCI!I24=LISTA!A2,"P",IF(MCI!I24=LISTA!A3,"L",IF(MCI!I24=LISTA!A4,"M",0)))</f>
        <v>L</v>
      </c>
      <c r="E89" s="118" t="str">
        <f t="shared" si="62"/>
        <v>T3S2</v>
      </c>
      <c r="F89" s="27">
        <f t="shared" si="57"/>
        <v>4.8333333333333339E-2</v>
      </c>
      <c r="G89" s="121">
        <f t="shared" si="57"/>
        <v>1.1399999999999999</v>
      </c>
      <c r="H89" s="121">
        <f t="shared" si="63"/>
        <v>0.1399999999999999</v>
      </c>
      <c r="I89" s="118">
        <f t="shared" si="64"/>
        <v>263.82750000000004</v>
      </c>
      <c r="J89" s="21">
        <f t="shared" si="65"/>
        <v>17729.208000000002</v>
      </c>
      <c r="K89" s="135">
        <f>IF(AND(C90=2,C89="P"),T!$I$26,IF(AND(C90=4,C89="P"),T!$I$27,IF(AND(C90=6,C89="P"),T!$I$28,IF(AND(C90=8,C89="P"),T!$I$29,IF(AND(C90=10,C89="P"),T!$I$30,IF(AND(C90=12,C89="P"),T!$I$31,0))))))</f>
        <v>0</v>
      </c>
      <c r="L89" s="135">
        <f>IF(AND(C90=2,C89="L"),T!$J$26,IF(AND(C90=4,C89="L"),T!$J$27,IF(AND(C90=6,C89="L"),T!$J$28,IF(AND(C90=8,C89="L"),T!$J$29,IF(AND(C90=10,C89="L"),T!$J$30,IF(AND(C90=12,C89="L"),T!$J$31,0))))))</f>
        <v>51.04</v>
      </c>
      <c r="M89" s="135">
        <f>IF(AND(C90=2,C89="M"),T!$K$26,IF(AND(C90=4,C89="M"),T!$K$27,IF(AND(C90=6,C89="M"),T!$K$28,IF(AND(C90=8,C89="M"),T!$K$29,IF(AND(C90=10,C89="M"),T!$K$30,IF(AND(C90=12,C89="M"),T!$K$31,0))))))</f>
        <v>0</v>
      </c>
      <c r="O89" s="118">
        <f t="shared" si="58"/>
        <v>51.04</v>
      </c>
      <c r="P89" s="7">
        <f t="shared" si="59"/>
        <v>4739.8119122257058</v>
      </c>
      <c r="Q89" s="7">
        <f t="shared" si="60"/>
        <v>1250492.7272727275</v>
      </c>
      <c r="R89" s="118">
        <f t="shared" si="61"/>
        <v>175068.98181818172</v>
      </c>
    </row>
    <row r="90" spans="2:18" x14ac:dyDescent="0.25">
      <c r="B90" s="107" t="str">
        <f t="shared" si="66"/>
        <v>IIR</v>
      </c>
      <c r="C90" s="77">
        <f>MCI!I25</f>
        <v>2</v>
      </c>
      <c r="E90" s="118" t="str">
        <f t="shared" si="62"/>
        <v xml:space="preserve"> T3S3</v>
      </c>
      <c r="F90" s="27">
        <f t="shared" si="57"/>
        <v>1.55E-2</v>
      </c>
      <c r="G90" s="121">
        <f t="shared" si="57"/>
        <v>1.1399999999999999</v>
      </c>
      <c r="H90" s="121">
        <f t="shared" si="63"/>
        <v>0.1399999999999999</v>
      </c>
      <c r="I90" s="118">
        <f t="shared" si="64"/>
        <v>84.606750000000005</v>
      </c>
      <c r="J90" s="21">
        <f t="shared" si="65"/>
        <v>5685.5736000000006</v>
      </c>
      <c r="K90" s="135">
        <f>IF(AND(C90=2,C89="P"),T!$I$16,IF(AND(C90=4,C89="P"),T!$I$17,IF(AND(C90=6,C89="P"),T!$I$18,IF(AND(C90=8,C89="P"),T!$I$19,IF(AND(C90=10,C89="P"),T!$I$20,IF(AND(C90=12,C89="P"),T!$I$21,0))))))</f>
        <v>0</v>
      </c>
      <c r="L90" s="135">
        <f>IF(AND(C90=2,C89="L"),T!$J$16,IF(AND(C90=4,C89="L"),T!$J$17,IF(AND(C90=6,C89="L"),T!$J$18,IF(AND(C90=8,C89="L"),T!$J$19,IF(AND(C90=10,C89="L"),T!$J$20,IF(AND(C90=12,C89="L"),T!$J$21,0))))))</f>
        <v>44</v>
      </c>
      <c r="M90" s="135">
        <f>IF(AND(C90=2,C89="M"),T!$K$16,IF(AND(C90=4,C89="M"),T!$K$17,IF(AND(C90=6,C89="M"),T!$K$18,IF(AND(C90=8,C89="M"),T!$K$19,IF(AND(C90=10,C89="M"),T!$K$20,IF(AND(C90=12,C89="M"),T!$K$21,0))))))</f>
        <v>0</v>
      </c>
      <c r="O90" s="118">
        <f t="shared" si="58"/>
        <v>44</v>
      </c>
      <c r="P90" s="7">
        <f t="shared" si="59"/>
        <v>5498.181818181818</v>
      </c>
      <c r="Q90" s="7">
        <f t="shared" si="60"/>
        <v>465183.29454545456</v>
      </c>
      <c r="R90" s="118">
        <f t="shared" si="61"/>
        <v>65125.661236363594</v>
      </c>
    </row>
    <row r="91" spans="2:18" x14ac:dyDescent="0.25">
      <c r="B91" s="107" t="str">
        <f t="shared" si="66"/>
        <v>Descripción</v>
      </c>
      <c r="C91" s="104" t="str">
        <f>MCI!I22</f>
        <v>Jilotepec - Palmillas (57D)</v>
      </c>
      <c r="E91" s="118" t="str">
        <f t="shared" si="62"/>
        <v xml:space="preserve"> T3S2R4</v>
      </c>
      <c r="F91" s="27">
        <f t="shared" si="57"/>
        <v>1.0166666666666666E-2</v>
      </c>
      <c r="G91" s="121">
        <f t="shared" si="57"/>
        <v>1.0900000000000001</v>
      </c>
      <c r="H91" s="121">
        <f t="shared" si="63"/>
        <v>9.000000000000008E-2</v>
      </c>
      <c r="I91" s="118">
        <f t="shared" si="64"/>
        <v>55.494749999999996</v>
      </c>
      <c r="J91" s="21">
        <f t="shared" si="65"/>
        <v>3729.2471999999998</v>
      </c>
      <c r="K91" s="135">
        <f>IF(AND(C90=2,C89="P"),T!$I$6,IF(AND(C90=4,C89="P"),T!$I$7,IF(AND(C90=6,C89="P"),T!$I$8,IF(AND(C90=8,C89="P"),T!$I$9,IF(AND(C90=10,C89="P"),T!$I$10,IF(AND(C90=12,C89="P"),T!$I$11,0))))))</f>
        <v>0</v>
      </c>
      <c r="L91" s="135">
        <f>IF(AND(C90=2,C89="L"),T!$J$6,IF(AND(C90=4,C89="L"),T!$J$7,IF(AND(C90=6,C89="L"),T!$J$8,IF(AND(C90=8,C89="L"),T!$J$9,IF(AND(C90=10,C89="L"),T!$J$10,IF(AND(C90=12,C89="L"),T!$J$11,0))))))</f>
        <v>34.42</v>
      </c>
      <c r="M91" s="135">
        <f>IF(AND(C90=2,C89="M"),T!$K$6,IF(AND(C90=4,C89="M"),T!$K$7,IF(AND(C90=6,C89="M"),T!$K$8,IF(AND(C90=8,C89="M"),T!$K$9,IF(AND(C90=10,C89="M"),T!$K$10,IF(AND(C90=12,C89="M"),T!$K$11,0))))))</f>
        <v>0</v>
      </c>
      <c r="O91" s="118">
        <f t="shared" si="58"/>
        <v>34.42</v>
      </c>
      <c r="P91" s="7">
        <f t="shared" si="59"/>
        <v>7028.4718187100525</v>
      </c>
      <c r="Q91" s="7">
        <f t="shared" si="60"/>
        <v>390043.28646135965</v>
      </c>
      <c r="R91" s="118">
        <f t="shared" si="61"/>
        <v>35103.895781522398</v>
      </c>
    </row>
    <row r="92" spans="2:18" x14ac:dyDescent="0.25">
      <c r="B92" s="107" t="str">
        <f t="shared" si="66"/>
        <v>TDPARP (vpd)</v>
      </c>
      <c r="C92" s="121">
        <f>C79</f>
        <v>5458.5</v>
      </c>
      <c r="E92" s="118" t="str">
        <f t="shared" si="62"/>
        <v xml:space="preserve"> OTROS</v>
      </c>
      <c r="F92" s="27">
        <f t="shared" si="57"/>
        <v>3.0000000000000768E-3</v>
      </c>
      <c r="G92" s="121">
        <f t="shared" si="57"/>
        <v>1.0900000000000001</v>
      </c>
      <c r="H92" s="121">
        <f t="shared" si="63"/>
        <v>9.000000000000008E-2</v>
      </c>
      <c r="I92" s="118">
        <f>F92*$C$92</f>
        <v>16.375500000000418</v>
      </c>
      <c r="J92" s="21">
        <f t="shared" si="65"/>
        <v>1100.433600000028</v>
      </c>
      <c r="K92" s="118"/>
      <c r="L92" s="118"/>
      <c r="M92" s="118"/>
      <c r="O92" s="140">
        <f>AVERAGE(O85:O91)</f>
        <v>51.504285714285722</v>
      </c>
      <c r="P92" s="7">
        <f t="shared" si="59"/>
        <v>4697.0848473081287</v>
      </c>
      <c r="Q92" s="7">
        <f t="shared" si="60"/>
        <v>76917.112917096223</v>
      </c>
      <c r="R92" s="118">
        <f t="shared" si="61"/>
        <v>6922.5401625386667</v>
      </c>
    </row>
    <row r="93" spans="2:18" x14ac:dyDescent="0.25">
      <c r="E93" s="19"/>
      <c r="F93" s="43"/>
      <c r="G93" s="43"/>
      <c r="H93" s="43"/>
      <c r="I93" s="19"/>
      <c r="J93" s="44"/>
      <c r="Q93" s="82" t="s">
        <v>17</v>
      </c>
      <c r="R93" s="118">
        <f>SUM(R85:R92)</f>
        <v>29706392.557348657</v>
      </c>
    </row>
    <row r="95" spans="2:18" x14ac:dyDescent="0.25">
      <c r="E95" s="8" t="s">
        <v>293</v>
      </c>
    </row>
    <row r="97" spans="5:16" x14ac:dyDescent="0.25">
      <c r="E97" s="78" t="s">
        <v>141</v>
      </c>
      <c r="F97" s="82">
        <v>1</v>
      </c>
      <c r="G97" s="82">
        <v>2</v>
      </c>
      <c r="H97" s="82">
        <v>3</v>
      </c>
      <c r="I97" s="82">
        <v>4</v>
      </c>
      <c r="J97" s="82">
        <v>5</v>
      </c>
      <c r="O97" s="82">
        <v>6</v>
      </c>
      <c r="P97" s="82">
        <v>7</v>
      </c>
    </row>
    <row r="98" spans="5:16" x14ac:dyDescent="0.25">
      <c r="E98" s="78" t="s">
        <v>170</v>
      </c>
      <c r="F98" s="162" t="str">
        <f>C13</f>
        <v>Toluca - Atlacomulco (57)</v>
      </c>
      <c r="G98" s="162" t="str">
        <f>C26</f>
        <v>Atlacomulco - Acambay (57)</v>
      </c>
      <c r="H98" s="162" t="str">
        <f>C39</f>
        <v>Atlacomulco - Acambay (40D)</v>
      </c>
      <c r="I98" s="162" t="str">
        <f>C52</f>
        <v>Acambay - Palmillas (57)</v>
      </c>
      <c r="J98" s="162" t="str">
        <f>C65</f>
        <v>Toluca - Jilotepec (57)</v>
      </c>
      <c r="K98" s="163"/>
      <c r="L98" s="163"/>
      <c r="M98" s="163"/>
      <c r="N98" s="163"/>
      <c r="O98" s="162" t="str">
        <f>C78</f>
        <v>Acambay - Jilotepec (40D)</v>
      </c>
      <c r="P98" s="162" t="str">
        <f>C91</f>
        <v>Jilotepec - Palmillas (57D)</v>
      </c>
    </row>
    <row r="99" spans="5:16" x14ac:dyDescent="0.25">
      <c r="E99" s="78" t="s">
        <v>236</v>
      </c>
      <c r="F99" s="143">
        <f>MCI!C23</f>
        <v>45400</v>
      </c>
      <c r="G99" s="143">
        <f>MCI!D23</f>
        <v>23300</v>
      </c>
      <c r="H99" s="143">
        <f>MCI!E23</f>
        <v>23300</v>
      </c>
      <c r="I99" s="143">
        <f>MCI!F23</f>
        <v>53900</v>
      </c>
      <c r="J99" s="143">
        <f>MCI!G23</f>
        <v>83100</v>
      </c>
      <c r="K99" s="144"/>
      <c r="L99" s="144"/>
      <c r="M99" s="144"/>
      <c r="N99" s="144"/>
      <c r="O99" s="143">
        <f>MCI!H23</f>
        <v>39100</v>
      </c>
      <c r="P99" s="143">
        <f>MCI!I23</f>
        <v>67200</v>
      </c>
    </row>
    <row r="100" spans="5:16" x14ac:dyDescent="0.25">
      <c r="E100" s="157" t="s">
        <v>305</v>
      </c>
      <c r="F100" s="159">
        <f>P7*60/3600</f>
        <v>41.310282074613283</v>
      </c>
      <c r="G100" s="159">
        <f>P20*60/3600</f>
        <v>27.541371158392433</v>
      </c>
      <c r="H100" s="159">
        <f>P33*60/3600</f>
        <v>27.166731441896619</v>
      </c>
      <c r="I100" s="159">
        <f>P46*60/3600</f>
        <v>62.844928099494751</v>
      </c>
      <c r="J100" s="159">
        <f>P59*60/3600</f>
        <v>81.871921182266007</v>
      </c>
      <c r="K100" s="160"/>
      <c r="L100" s="160"/>
      <c r="M100" s="160"/>
      <c r="N100" s="159"/>
      <c r="O100" s="159">
        <f>P72*60/3600</f>
        <v>35.577797998180159</v>
      </c>
      <c r="P100" s="159">
        <f>P85*60/3600</f>
        <v>60.431654676258994</v>
      </c>
    </row>
    <row r="101" spans="5:16" x14ac:dyDescent="0.25">
      <c r="E101" s="78" t="s">
        <v>110</v>
      </c>
      <c r="F101" s="143" t="str">
        <f>MCI!C24</f>
        <v>Lomerío</v>
      </c>
      <c r="G101" s="143" t="str">
        <f>MCI!D24</f>
        <v>Montañoso</v>
      </c>
      <c r="H101" s="143" t="str">
        <f>MCI!E24</f>
        <v>Montañoso</v>
      </c>
      <c r="I101" s="143" t="str">
        <f>MCI!F24</f>
        <v>Montañoso</v>
      </c>
      <c r="J101" s="143" t="str">
        <f>MCI!G24</f>
        <v>Lomerío</v>
      </c>
      <c r="K101" s="144"/>
      <c r="L101" s="144"/>
      <c r="M101" s="144"/>
      <c r="N101" s="144"/>
      <c r="O101" s="143" t="str">
        <f>MCI!H24</f>
        <v>Lomerío</v>
      </c>
      <c r="P101" s="143" t="str">
        <f>MCI!I24</f>
        <v>Lomerío</v>
      </c>
    </row>
    <row r="102" spans="5:16" x14ac:dyDescent="0.25">
      <c r="E102" s="78" t="s">
        <v>125</v>
      </c>
      <c r="F102" s="143">
        <f>MCI!C25</f>
        <v>4</v>
      </c>
      <c r="G102" s="143">
        <f>MCI!D25</f>
        <v>6</v>
      </c>
      <c r="H102" s="143">
        <f>MCI!E25</f>
        <v>4</v>
      </c>
      <c r="I102" s="143">
        <f>MCI!F25</f>
        <v>4</v>
      </c>
      <c r="J102" s="143">
        <f>MCI!G25</f>
        <v>8</v>
      </c>
      <c r="K102" s="144"/>
      <c r="L102" s="144"/>
      <c r="M102" s="144"/>
      <c r="N102" s="144"/>
      <c r="O102" s="143">
        <f>MCI!H25</f>
        <v>4</v>
      </c>
      <c r="P102" s="143">
        <f>MCI!I25</f>
        <v>2</v>
      </c>
    </row>
    <row r="103" spans="5:16" x14ac:dyDescent="0.25">
      <c r="E103" s="145" t="s">
        <v>291</v>
      </c>
      <c r="F103" s="143">
        <f>R15</f>
        <v>20303329.369729865</v>
      </c>
      <c r="G103" s="143">
        <f>R28</f>
        <v>13617120.536008334</v>
      </c>
      <c r="H103" s="143">
        <f>R41</f>
        <v>13434579.058722368</v>
      </c>
      <c r="I103" s="143">
        <f>R54</f>
        <v>31078275.161593806</v>
      </c>
      <c r="J103" s="143">
        <f>R67</f>
        <v>40280524.362022392</v>
      </c>
      <c r="K103" s="146"/>
      <c r="L103" s="146"/>
      <c r="M103" s="146"/>
      <c r="N103" s="146"/>
      <c r="O103" s="143">
        <f>R80</f>
        <v>17485907.012256335</v>
      </c>
      <c r="P103" s="143">
        <f>R93</f>
        <v>29706392.557348657</v>
      </c>
    </row>
    <row r="104" spans="5:16" x14ac:dyDescent="0.25">
      <c r="E104" s="26" t="s">
        <v>76</v>
      </c>
      <c r="F104" s="55" t="s">
        <v>303</v>
      </c>
      <c r="G104" s="149"/>
      <c r="H104" s="149"/>
      <c r="I104" s="161"/>
      <c r="J104" s="161"/>
      <c r="K104" s="158"/>
      <c r="L104" s="158"/>
      <c r="M104" s="158"/>
      <c r="N104" s="161"/>
      <c r="O104" s="161"/>
      <c r="P104" s="161"/>
    </row>
    <row r="105" spans="5:16" x14ac:dyDescent="0.25">
      <c r="E105" s="18"/>
      <c r="K105" s="90"/>
      <c r="L105" s="90"/>
      <c r="M105" s="90"/>
    </row>
    <row r="106" spans="5:16" x14ac:dyDescent="0.25">
      <c r="E106" s="8" t="s">
        <v>294</v>
      </c>
      <c r="F106" s="88"/>
      <c r="G106" s="88"/>
      <c r="H106" s="88"/>
      <c r="I106" s="88"/>
      <c r="J106" s="88"/>
      <c r="K106" s="88"/>
      <c r="L106" s="88"/>
      <c r="M106" s="88"/>
    </row>
    <row r="107" spans="5:16" x14ac:dyDescent="0.25">
      <c r="E107" s="8"/>
      <c r="F107" s="88"/>
      <c r="G107" s="88"/>
      <c r="H107" s="88"/>
      <c r="I107" s="88"/>
      <c r="J107" s="88"/>
      <c r="K107" s="88"/>
      <c r="L107" s="88"/>
      <c r="M107" s="88"/>
    </row>
    <row r="108" spans="5:16" x14ac:dyDescent="0.25">
      <c r="E108" s="346" t="s">
        <v>286</v>
      </c>
      <c r="F108" s="343" t="s">
        <v>69</v>
      </c>
      <c r="G108" s="343" t="s">
        <v>237</v>
      </c>
      <c r="H108" s="343" t="s">
        <v>28</v>
      </c>
      <c r="I108" s="343" t="s">
        <v>238</v>
      </c>
      <c r="J108" s="114" t="s">
        <v>273</v>
      </c>
      <c r="K108" s="81"/>
      <c r="L108" s="81"/>
      <c r="M108" s="81"/>
      <c r="N108" s="118"/>
    </row>
    <row r="109" spans="5:16" x14ac:dyDescent="0.25">
      <c r="E109" s="347"/>
      <c r="F109" s="344"/>
      <c r="G109" s="344"/>
      <c r="H109" s="344"/>
      <c r="I109" s="344"/>
      <c r="J109" s="118" t="s">
        <v>142</v>
      </c>
      <c r="K109" s="34" t="s">
        <v>22</v>
      </c>
      <c r="L109" s="34" t="s">
        <v>23</v>
      </c>
      <c r="M109" s="34" t="s">
        <v>257</v>
      </c>
      <c r="N109" s="34" t="s">
        <v>258</v>
      </c>
    </row>
    <row r="110" spans="5:16" x14ac:dyDescent="0.25">
      <c r="E110" s="78" t="s">
        <v>239</v>
      </c>
      <c r="F110" s="21">
        <f>MCI!C31</f>
        <v>1</v>
      </c>
      <c r="G110" s="21">
        <f>MCI!D31</f>
        <v>2</v>
      </c>
      <c r="H110" s="21">
        <f>MCI!E31</f>
        <v>4</v>
      </c>
      <c r="I110" s="21" t="str">
        <f>MCI!F31</f>
        <v>N/A</v>
      </c>
      <c r="J110" s="118">
        <f t="shared" ref="J110:J115" si="67">SUM(K110:N110)/1000</f>
        <v>122.6</v>
      </c>
      <c r="K110" s="135">
        <f t="shared" ref="K110:N115" si="68">IF(F110=$F$97,$F$99,IF(F110=$G$97,$G$99,IF(F110=$H$97,$H$99,IF(F110=$I$97,$I$99,IF(F110=$J$97,$J$99,IF(F110=$O$97,$O$99,IF(F110=$P$97,$P$99,0)))))))</f>
        <v>45400</v>
      </c>
      <c r="L110" s="141">
        <f t="shared" si="68"/>
        <v>23300</v>
      </c>
      <c r="M110" s="141">
        <f t="shared" si="68"/>
        <v>53900</v>
      </c>
      <c r="N110" s="141">
        <f t="shared" si="68"/>
        <v>0</v>
      </c>
    </row>
    <row r="111" spans="5:16" x14ac:dyDescent="0.25">
      <c r="E111" s="78" t="s">
        <v>241</v>
      </c>
      <c r="F111" s="21">
        <f>MCI!C32</f>
        <v>1</v>
      </c>
      <c r="G111" s="21">
        <f>MCI!D32</f>
        <v>2</v>
      </c>
      <c r="H111" s="21">
        <f>MCI!E32</f>
        <v>6</v>
      </c>
      <c r="I111" s="21">
        <f>MCI!F32</f>
        <v>7</v>
      </c>
      <c r="J111" s="118">
        <f t="shared" si="67"/>
        <v>175</v>
      </c>
      <c r="K111" s="135">
        <f t="shared" si="68"/>
        <v>45400</v>
      </c>
      <c r="L111" s="141">
        <f t="shared" si="68"/>
        <v>23300</v>
      </c>
      <c r="M111" s="141">
        <f t="shared" si="68"/>
        <v>39100</v>
      </c>
      <c r="N111" s="141">
        <f t="shared" si="68"/>
        <v>67200</v>
      </c>
    </row>
    <row r="112" spans="5:16" x14ac:dyDescent="0.25">
      <c r="E112" s="78" t="s">
        <v>240</v>
      </c>
      <c r="F112" s="21">
        <f>MCI!C33</f>
        <v>1</v>
      </c>
      <c r="G112" s="21">
        <f>MCI!D33</f>
        <v>3</v>
      </c>
      <c r="H112" s="21">
        <f>MCI!E33</f>
        <v>4</v>
      </c>
      <c r="I112" s="21" t="str">
        <f>MCI!F33</f>
        <v>N/A</v>
      </c>
      <c r="J112" s="118">
        <f t="shared" si="67"/>
        <v>122.6</v>
      </c>
      <c r="K112" s="135">
        <f t="shared" si="68"/>
        <v>45400</v>
      </c>
      <c r="L112" s="141">
        <f t="shared" si="68"/>
        <v>23300</v>
      </c>
      <c r="M112" s="141">
        <f t="shared" si="68"/>
        <v>53900</v>
      </c>
      <c r="N112" s="141">
        <f t="shared" si="68"/>
        <v>0</v>
      </c>
    </row>
    <row r="113" spans="5:14" x14ac:dyDescent="0.25">
      <c r="E113" s="78" t="s">
        <v>242</v>
      </c>
      <c r="F113" s="21">
        <f>MCI!C34</f>
        <v>1</v>
      </c>
      <c r="G113" s="21">
        <f>MCI!D34</f>
        <v>3</v>
      </c>
      <c r="H113" s="21">
        <f>MCI!E34</f>
        <v>6</v>
      </c>
      <c r="I113" s="21">
        <f>MCI!F34</f>
        <v>7</v>
      </c>
      <c r="J113" s="118">
        <f t="shared" si="67"/>
        <v>175</v>
      </c>
      <c r="K113" s="135">
        <f t="shared" si="68"/>
        <v>45400</v>
      </c>
      <c r="L113" s="141">
        <f t="shared" si="68"/>
        <v>23300</v>
      </c>
      <c r="M113" s="141">
        <f t="shared" si="68"/>
        <v>39100</v>
      </c>
      <c r="N113" s="141">
        <f t="shared" si="68"/>
        <v>67200</v>
      </c>
    </row>
    <row r="114" spans="5:14" x14ac:dyDescent="0.25">
      <c r="E114" s="78" t="s">
        <v>243</v>
      </c>
      <c r="F114" s="21">
        <f>MCI!C35</f>
        <v>5</v>
      </c>
      <c r="G114" s="21">
        <f>MCI!D35</f>
        <v>6</v>
      </c>
      <c r="H114" s="21">
        <f>MCI!E35</f>
        <v>4</v>
      </c>
      <c r="I114" s="21" t="str">
        <f>MCI!F35</f>
        <v>N/A</v>
      </c>
      <c r="J114" s="118">
        <f t="shared" si="67"/>
        <v>176.1</v>
      </c>
      <c r="K114" s="135">
        <f t="shared" si="68"/>
        <v>83100</v>
      </c>
      <c r="L114" s="141">
        <f t="shared" si="68"/>
        <v>39100</v>
      </c>
      <c r="M114" s="141">
        <f t="shared" si="68"/>
        <v>53900</v>
      </c>
      <c r="N114" s="141">
        <f t="shared" si="68"/>
        <v>0</v>
      </c>
    </row>
    <row r="115" spans="5:14" x14ac:dyDescent="0.25">
      <c r="E115" s="78" t="s">
        <v>244</v>
      </c>
      <c r="F115" s="21">
        <f>MCI!C36</f>
        <v>5</v>
      </c>
      <c r="G115" s="21">
        <f>MCI!D36</f>
        <v>7</v>
      </c>
      <c r="H115" s="21" t="str">
        <f>MCI!E36</f>
        <v>N/A</v>
      </c>
      <c r="I115" s="21" t="str">
        <f>MCI!F36</f>
        <v>N/A</v>
      </c>
      <c r="J115" s="118">
        <f t="shared" si="67"/>
        <v>150.30000000000001</v>
      </c>
      <c r="K115" s="135">
        <f t="shared" si="68"/>
        <v>83100</v>
      </c>
      <c r="L115" s="141">
        <f t="shared" si="68"/>
        <v>67200</v>
      </c>
      <c r="M115" s="141">
        <f t="shared" si="68"/>
        <v>0</v>
      </c>
      <c r="N115" s="141">
        <f t="shared" si="68"/>
        <v>0</v>
      </c>
    </row>
    <row r="116" spans="5:14" x14ac:dyDescent="0.25">
      <c r="E116" s="87"/>
      <c r="F116" s="44"/>
      <c r="G116" s="44"/>
      <c r="H116" s="44"/>
      <c r="I116" s="44"/>
      <c r="J116" s="19"/>
      <c r="K116" s="168"/>
      <c r="L116" s="169"/>
      <c r="M116" s="169"/>
      <c r="N116" s="169"/>
    </row>
    <row r="117" spans="5:14" x14ac:dyDescent="0.25">
      <c r="E117" s="87" t="s">
        <v>310</v>
      </c>
      <c r="F117" s="44"/>
      <c r="G117" s="44"/>
      <c r="H117" s="44"/>
      <c r="I117" s="44"/>
      <c r="J117" s="19"/>
      <c r="K117" s="168"/>
      <c r="L117" s="169"/>
      <c r="M117" s="169"/>
      <c r="N117" s="169"/>
    </row>
    <row r="118" spans="5:14" x14ac:dyDescent="0.25">
      <c r="E118" s="87"/>
      <c r="F118" s="44"/>
      <c r="G118" s="44"/>
      <c r="H118" s="44"/>
      <c r="I118" s="44"/>
      <c r="J118" s="19"/>
      <c r="K118" s="168"/>
      <c r="L118" s="169"/>
      <c r="M118" s="169"/>
      <c r="N118" s="169"/>
    </row>
    <row r="119" spans="5:14" x14ac:dyDescent="0.25">
      <c r="E119" s="118" t="str">
        <f>E82</f>
        <v>Variable</v>
      </c>
      <c r="F119" s="82" t="s">
        <v>24</v>
      </c>
      <c r="G119" s="82" t="s">
        <v>41</v>
      </c>
      <c r="H119" s="82" t="s">
        <v>20</v>
      </c>
      <c r="I119" s="63" t="s">
        <v>26</v>
      </c>
      <c r="J119" s="129"/>
      <c r="K119" s="169"/>
      <c r="L119" s="169"/>
      <c r="M119" s="169"/>
    </row>
    <row r="120" spans="5:14" x14ac:dyDescent="0.25">
      <c r="E120" s="352" t="s">
        <v>1</v>
      </c>
      <c r="F120" s="118" t="str">
        <f>F83</f>
        <v>(%)</v>
      </c>
      <c r="G120" s="118" t="str">
        <f t="shared" ref="G120" si="69">G83</f>
        <v>(persona/veh)</v>
      </c>
      <c r="H120" s="118" t="s">
        <v>7</v>
      </c>
      <c r="I120" s="21" t="s">
        <v>315</v>
      </c>
      <c r="J120" s="129"/>
      <c r="K120" s="169"/>
      <c r="L120" s="169"/>
      <c r="M120" s="169"/>
    </row>
    <row r="121" spans="5:14" ht="75" x14ac:dyDescent="0.25">
      <c r="E121" s="352"/>
      <c r="F121" s="116" t="s">
        <v>5</v>
      </c>
      <c r="G121" s="116" t="s">
        <v>112</v>
      </c>
      <c r="H121" s="116" t="s">
        <v>3</v>
      </c>
      <c r="I121" s="172" t="s">
        <v>314</v>
      </c>
      <c r="J121" s="129"/>
      <c r="K121" s="169"/>
      <c r="L121" s="169"/>
      <c r="M121" s="169"/>
    </row>
    <row r="122" spans="5:14" x14ac:dyDescent="0.25">
      <c r="E122" s="118" t="str">
        <f>E85</f>
        <v>A</v>
      </c>
      <c r="F122" s="171">
        <f t="shared" ref="F122:G122" si="70">F85</f>
        <v>0.79800000000000004</v>
      </c>
      <c r="G122" s="118">
        <f t="shared" si="70"/>
        <v>2.2799999999999998</v>
      </c>
      <c r="H122" s="117">
        <f t="shared" ref="H122:H129" si="71">F122*$C$92</f>
        <v>4355.8829999999998</v>
      </c>
      <c r="I122" s="7">
        <f>H122*G122</f>
        <v>9931.413239999998</v>
      </c>
      <c r="J122" s="129"/>
      <c r="K122" s="169"/>
      <c r="L122" s="169"/>
      <c r="M122" s="169"/>
    </row>
    <row r="123" spans="5:14" x14ac:dyDescent="0.25">
      <c r="E123" s="118" t="str">
        <f t="shared" ref="E123:G123" si="72">E86</f>
        <v xml:space="preserve"> B</v>
      </c>
      <c r="F123" s="171">
        <f t="shared" si="72"/>
        <v>3.4000000000000002E-2</v>
      </c>
      <c r="G123" s="118">
        <f t="shared" si="72"/>
        <v>12.81</v>
      </c>
      <c r="H123" s="117">
        <f t="shared" si="71"/>
        <v>185.58900000000003</v>
      </c>
      <c r="I123" s="7">
        <f t="shared" ref="I123:I129" si="73">H123*G123</f>
        <v>2377.3950900000004</v>
      </c>
      <c r="J123" s="129"/>
      <c r="K123" s="169"/>
      <c r="L123" s="169"/>
      <c r="M123" s="169"/>
    </row>
    <row r="124" spans="5:14" x14ac:dyDescent="0.25">
      <c r="E124" s="118" t="str">
        <f t="shared" ref="E124:G124" si="74">E87</f>
        <v>C2</v>
      </c>
      <c r="F124" s="171">
        <f t="shared" si="74"/>
        <v>7.0166666666666669E-2</v>
      </c>
      <c r="G124" s="118">
        <f t="shared" si="74"/>
        <v>1.37</v>
      </c>
      <c r="H124" s="117">
        <f t="shared" si="71"/>
        <v>383.00475</v>
      </c>
      <c r="I124" s="7">
        <f t="shared" si="73"/>
        <v>524.71650750000003</v>
      </c>
      <c r="J124" s="129"/>
      <c r="K124" s="169"/>
      <c r="L124" s="169"/>
      <c r="M124" s="169"/>
    </row>
    <row r="125" spans="5:14" x14ac:dyDescent="0.25">
      <c r="E125" s="118" t="str">
        <f t="shared" ref="E125:G125" si="75">E88</f>
        <v>C3</v>
      </c>
      <c r="F125" s="171">
        <f t="shared" si="75"/>
        <v>2.0833333333333332E-2</v>
      </c>
      <c r="G125" s="118">
        <f t="shared" si="75"/>
        <v>1.23</v>
      </c>
      <c r="H125" s="117">
        <f t="shared" si="71"/>
        <v>113.71875</v>
      </c>
      <c r="I125" s="7">
        <f t="shared" si="73"/>
        <v>139.87406250000001</v>
      </c>
      <c r="J125" s="129"/>
      <c r="K125" s="169"/>
      <c r="L125" s="169"/>
      <c r="M125" s="169"/>
    </row>
    <row r="126" spans="5:14" x14ac:dyDescent="0.25">
      <c r="E126" s="118" t="str">
        <f t="shared" ref="E126:G126" si="76">E89</f>
        <v>T3S2</v>
      </c>
      <c r="F126" s="171">
        <f t="shared" si="76"/>
        <v>4.8333333333333339E-2</v>
      </c>
      <c r="G126" s="118">
        <f t="shared" si="76"/>
        <v>1.1399999999999999</v>
      </c>
      <c r="H126" s="117">
        <f t="shared" si="71"/>
        <v>263.82750000000004</v>
      </c>
      <c r="I126" s="7">
        <f t="shared" si="73"/>
        <v>300.76335</v>
      </c>
      <c r="J126" s="129"/>
      <c r="K126" s="169"/>
      <c r="L126" s="169"/>
      <c r="M126" s="169"/>
    </row>
    <row r="127" spans="5:14" x14ac:dyDescent="0.25">
      <c r="E127" s="118" t="str">
        <f t="shared" ref="E127:G127" si="77">E90</f>
        <v xml:space="preserve"> T3S3</v>
      </c>
      <c r="F127" s="171">
        <f t="shared" si="77"/>
        <v>1.55E-2</v>
      </c>
      <c r="G127" s="118">
        <f t="shared" si="77"/>
        <v>1.1399999999999999</v>
      </c>
      <c r="H127" s="117">
        <f t="shared" si="71"/>
        <v>84.606750000000005</v>
      </c>
      <c r="I127" s="7">
        <f t="shared" si="73"/>
        <v>96.451695000000001</v>
      </c>
      <c r="J127" s="129"/>
      <c r="K127" s="169"/>
      <c r="L127" s="169"/>
      <c r="M127" s="169"/>
    </row>
    <row r="128" spans="5:14" x14ac:dyDescent="0.25">
      <c r="E128" s="118" t="str">
        <f t="shared" ref="E128:G128" si="78">E91</f>
        <v xml:space="preserve"> T3S2R4</v>
      </c>
      <c r="F128" s="171">
        <f t="shared" si="78"/>
        <v>1.0166666666666666E-2</v>
      </c>
      <c r="G128" s="118">
        <f t="shared" si="78"/>
        <v>1.0900000000000001</v>
      </c>
      <c r="H128" s="117">
        <f t="shared" si="71"/>
        <v>55.494749999999996</v>
      </c>
      <c r="I128" s="7">
        <f t="shared" si="73"/>
        <v>60.4892775</v>
      </c>
      <c r="J128" s="129"/>
      <c r="K128" s="169"/>
      <c r="L128" s="169"/>
      <c r="M128" s="169"/>
    </row>
    <row r="129" spans="2:24" x14ac:dyDescent="0.25">
      <c r="E129" s="118" t="str">
        <f t="shared" ref="E129:G129" si="79">E92</f>
        <v xml:space="preserve"> OTROS</v>
      </c>
      <c r="F129" s="171">
        <f t="shared" si="79"/>
        <v>3.0000000000000768E-3</v>
      </c>
      <c r="G129" s="118">
        <f t="shared" si="79"/>
        <v>1.0900000000000001</v>
      </c>
      <c r="H129" s="117">
        <f t="shared" si="71"/>
        <v>16.375500000000418</v>
      </c>
      <c r="I129" s="7">
        <f t="shared" si="73"/>
        <v>17.849295000000456</v>
      </c>
      <c r="J129" s="129"/>
      <c r="K129" s="169"/>
      <c r="L129" s="169"/>
      <c r="M129" s="169"/>
    </row>
    <row r="130" spans="2:24" x14ac:dyDescent="0.25">
      <c r="E130" s="19"/>
      <c r="F130" s="174"/>
      <c r="G130" s="19"/>
      <c r="H130" s="82" t="s">
        <v>17</v>
      </c>
      <c r="I130" s="7">
        <f>SUM(I122:I129)</f>
        <v>13448.952517499996</v>
      </c>
      <c r="J130" s="129"/>
      <c r="K130" s="169"/>
      <c r="L130" s="169"/>
      <c r="M130" s="169"/>
    </row>
    <row r="131" spans="2:24" x14ac:dyDescent="0.25">
      <c r="E131" s="170" t="s">
        <v>76</v>
      </c>
      <c r="F131" s="173" t="s">
        <v>311</v>
      </c>
      <c r="G131" s="44"/>
      <c r="H131" s="44"/>
      <c r="I131" s="44"/>
      <c r="J131" s="19"/>
      <c r="K131" s="168"/>
      <c r="L131" s="169"/>
      <c r="M131" s="169"/>
      <c r="N131" s="169"/>
    </row>
    <row r="132" spans="2:24" x14ac:dyDescent="0.25">
      <c r="E132" s="87"/>
      <c r="F132" s="44"/>
      <c r="G132" s="44"/>
      <c r="H132" s="44"/>
      <c r="I132" s="44"/>
      <c r="J132" s="19"/>
      <c r="K132" s="168"/>
      <c r="L132" s="169"/>
      <c r="M132" s="169"/>
      <c r="N132" s="169"/>
    </row>
    <row r="133" spans="2:24" x14ac:dyDescent="0.25">
      <c r="E133" s="6" t="s">
        <v>13</v>
      </c>
      <c r="F133" s="5" t="s">
        <v>109</v>
      </c>
      <c r="P133" s="28"/>
      <c r="Q133" s="28"/>
      <c r="R133" s="28"/>
    </row>
    <row r="134" spans="2:24" x14ac:dyDescent="0.25">
      <c r="B134" s="122"/>
      <c r="E134" s="10" t="s">
        <v>92</v>
      </c>
      <c r="F134" s="3">
        <f ca="1">MCI!C65</f>
        <v>24400.510117826263</v>
      </c>
      <c r="G134" s="122" t="s">
        <v>91</v>
      </c>
      <c r="H134" s="5" t="str">
        <f>MCI!E65</f>
        <v>Horas laborables promedio a la semana (EdoMex)*</v>
      </c>
      <c r="K134" s="55" t="s">
        <v>94</v>
      </c>
      <c r="P134" s="28"/>
      <c r="Q134" s="28"/>
      <c r="R134" s="28"/>
    </row>
    <row r="135" spans="2:24" x14ac:dyDescent="0.25">
      <c r="E135" s="6" t="s">
        <v>39</v>
      </c>
      <c r="F135" s="122">
        <f ca="1">F134/5</f>
        <v>4880.1020235652522</v>
      </c>
      <c r="G135" s="122" t="s">
        <v>101</v>
      </c>
      <c r="H135" s="5" t="s">
        <v>93</v>
      </c>
      <c r="L135" s="56"/>
      <c r="P135" s="28"/>
      <c r="Q135" s="28"/>
      <c r="R135" s="28"/>
    </row>
    <row r="136" spans="2:24" x14ac:dyDescent="0.25">
      <c r="E136" s="39" t="s">
        <v>97</v>
      </c>
      <c r="F136" s="38">
        <f ca="1">MCI!C67</f>
        <v>2.040664903829839</v>
      </c>
      <c r="G136" s="38" t="str">
        <f>MCI!D67</f>
        <v>$/día</v>
      </c>
      <c r="H136" s="40" t="str">
        <f>MCI!E67</f>
        <v>Salario Mínimo vigente área geográfica única</v>
      </c>
      <c r="K136" s="55" t="s">
        <v>94</v>
      </c>
      <c r="P136" s="28"/>
      <c r="Q136" s="28"/>
      <c r="R136" s="28"/>
    </row>
    <row r="137" spans="2:24" x14ac:dyDescent="0.25">
      <c r="E137" s="39" t="s">
        <v>100</v>
      </c>
      <c r="F137" s="38">
        <f ca="1">F136/F135</f>
        <v>4.1816029541509299E-4</v>
      </c>
      <c r="G137" s="38" t="s">
        <v>62</v>
      </c>
      <c r="H137" s="40" t="s">
        <v>102</v>
      </c>
      <c r="L137" s="5"/>
      <c r="P137" s="28"/>
      <c r="Q137" s="28"/>
      <c r="R137" s="28"/>
    </row>
    <row r="138" spans="2:24" x14ac:dyDescent="0.25">
      <c r="E138" s="87"/>
      <c r="F138" s="44"/>
      <c r="G138" s="44"/>
      <c r="H138" s="44"/>
      <c r="I138" s="44"/>
      <c r="J138" s="129"/>
      <c r="K138" s="33"/>
      <c r="L138" s="33"/>
      <c r="M138" s="33"/>
      <c r="N138" s="148"/>
      <c r="P138" s="28"/>
      <c r="Q138" s="28"/>
      <c r="R138" s="28"/>
    </row>
    <row r="139" spans="2:24" x14ac:dyDescent="0.25">
      <c r="E139" s="8" t="s">
        <v>295</v>
      </c>
      <c r="F139" s="132"/>
      <c r="G139" s="149"/>
      <c r="H139" s="149"/>
      <c r="I139" s="149"/>
      <c r="J139" s="129"/>
      <c r="K139" s="33"/>
      <c r="L139" s="33"/>
      <c r="M139" s="33"/>
      <c r="N139" s="148"/>
      <c r="O139" s="147"/>
      <c r="P139" s="28"/>
      <c r="Q139" s="28"/>
      <c r="R139" s="28"/>
    </row>
    <row r="140" spans="2:24" x14ac:dyDescent="0.25">
      <c r="E140" s="8"/>
      <c r="F140" s="132"/>
      <c r="G140" s="149"/>
      <c r="H140" s="149"/>
      <c r="I140" s="149"/>
      <c r="J140" s="129"/>
      <c r="K140" s="33"/>
      <c r="L140" s="33"/>
      <c r="M140" s="33"/>
      <c r="N140" s="148"/>
      <c r="O140" s="147"/>
      <c r="P140" s="28"/>
      <c r="Q140" s="28"/>
      <c r="R140" s="28"/>
    </row>
    <row r="141" spans="2:24" x14ac:dyDescent="0.25">
      <c r="E141" s="10" t="s">
        <v>61</v>
      </c>
      <c r="F141" s="3">
        <f ca="1">MCI!C66</f>
        <v>27.140362787773366</v>
      </c>
      <c r="G141" s="122" t="s">
        <v>62</v>
      </c>
      <c r="H141" s="5" t="s">
        <v>163</v>
      </c>
      <c r="K141" s="6" t="s">
        <v>63</v>
      </c>
      <c r="L141" s="33"/>
      <c r="M141" s="33"/>
      <c r="N141" s="148"/>
    </row>
    <row r="142" spans="2:24" x14ac:dyDescent="0.25">
      <c r="E142" s="10"/>
      <c r="F142" s="3"/>
      <c r="H142" s="5"/>
      <c r="K142" s="6"/>
      <c r="L142" s="33"/>
      <c r="M142" s="33"/>
      <c r="N142" s="148"/>
    </row>
    <row r="143" spans="2:24" x14ac:dyDescent="0.25">
      <c r="E143" s="345" t="s">
        <v>286</v>
      </c>
      <c r="F143" s="345" t="s">
        <v>69</v>
      </c>
      <c r="G143" s="345" t="s">
        <v>237</v>
      </c>
      <c r="H143" s="345" t="s">
        <v>28</v>
      </c>
      <c r="I143" s="345" t="s">
        <v>238</v>
      </c>
      <c r="J143" s="114" t="s">
        <v>296</v>
      </c>
      <c r="K143" s="33"/>
      <c r="L143" s="33"/>
      <c r="M143" s="33"/>
      <c r="N143" s="148"/>
      <c r="O143" s="82" t="s">
        <v>308</v>
      </c>
      <c r="P143" s="82" t="s">
        <v>38</v>
      </c>
      <c r="Q143" s="82" t="s">
        <v>90</v>
      </c>
      <c r="R143" s="82" t="s">
        <v>40</v>
      </c>
      <c r="S143" s="82" t="s">
        <v>107</v>
      </c>
      <c r="T143" s="82" t="str">
        <f>I119</f>
        <v>Pp</v>
      </c>
      <c r="U143" s="82" t="s">
        <v>43</v>
      </c>
      <c r="V143" s="82" t="s">
        <v>312</v>
      </c>
      <c r="W143" s="82" t="s">
        <v>313</v>
      </c>
      <c r="X143" s="296" t="s">
        <v>510</v>
      </c>
    </row>
    <row r="144" spans="2:24" x14ac:dyDescent="0.25">
      <c r="E144" s="345"/>
      <c r="F144" s="345"/>
      <c r="G144" s="345"/>
      <c r="H144" s="345"/>
      <c r="I144" s="345"/>
      <c r="J144" s="120" t="s">
        <v>9</v>
      </c>
      <c r="K144" s="129"/>
      <c r="L144" s="33"/>
      <c r="M144" s="33"/>
      <c r="N144" s="33"/>
      <c r="O144" s="118" t="s">
        <v>6</v>
      </c>
      <c r="P144" s="118" t="s">
        <v>6</v>
      </c>
      <c r="Q144" s="118" t="s">
        <v>6</v>
      </c>
      <c r="R144" s="118" t="s">
        <v>104</v>
      </c>
      <c r="S144" s="118" t="s">
        <v>106</v>
      </c>
      <c r="T144" s="142" t="str">
        <f>I120</f>
        <v>(personas/día)</v>
      </c>
      <c r="U144" s="118" t="s">
        <v>14</v>
      </c>
      <c r="V144" s="118" t="s">
        <v>15</v>
      </c>
      <c r="W144" s="118" t="s">
        <v>279</v>
      </c>
      <c r="X144" s="302" t="s">
        <v>530</v>
      </c>
    </row>
    <row r="145" spans="2:24" s="4" customFormat="1" ht="60" x14ac:dyDescent="0.25">
      <c r="B145" s="166"/>
      <c r="E145" s="345"/>
      <c r="F145" s="345"/>
      <c r="G145" s="345"/>
      <c r="H145" s="345"/>
      <c r="I145" s="345"/>
      <c r="J145" s="4" t="s">
        <v>307</v>
      </c>
      <c r="K145" s="167" t="s">
        <v>22</v>
      </c>
      <c r="L145" s="167" t="s">
        <v>23</v>
      </c>
      <c r="M145" s="167" t="s">
        <v>257</v>
      </c>
      <c r="N145" s="167" t="s">
        <v>258</v>
      </c>
      <c r="O145" s="30" t="s">
        <v>78</v>
      </c>
      <c r="P145" s="30" t="s">
        <v>95</v>
      </c>
      <c r="Q145" s="30" t="s">
        <v>96</v>
      </c>
      <c r="R145" s="30" t="s">
        <v>105</v>
      </c>
      <c r="S145" s="30" t="s">
        <v>108</v>
      </c>
      <c r="T145" s="30" t="s">
        <v>316</v>
      </c>
      <c r="U145" s="30" t="s">
        <v>103</v>
      </c>
      <c r="V145" s="30" t="s">
        <v>103</v>
      </c>
      <c r="W145" s="30" t="s">
        <v>103</v>
      </c>
      <c r="X145" s="303" t="s">
        <v>531</v>
      </c>
    </row>
    <row r="146" spans="2:24" x14ac:dyDescent="0.25">
      <c r="E146" s="78" t="s">
        <v>239</v>
      </c>
      <c r="F146" s="21">
        <f t="shared" ref="F146:I151" si="80">F110</f>
        <v>1</v>
      </c>
      <c r="G146" s="21">
        <f t="shared" si="80"/>
        <v>2</v>
      </c>
      <c r="H146" s="21">
        <f t="shared" si="80"/>
        <v>4</v>
      </c>
      <c r="I146" s="21" t="str">
        <f t="shared" si="80"/>
        <v>N/A</v>
      </c>
      <c r="J146" s="11">
        <f t="shared" ref="J146:J151" si="81">SUM(K146:N146)</f>
        <v>64998725.067332</v>
      </c>
      <c r="K146" s="135">
        <f t="shared" ref="K146:N151" si="82">IF(F146=$F$97,$F$103,IF(F146=$G$97,$G$103,IF(F146=$H$97,$H$103,IF(F146=$I$97,$I$103,IF(F146=$J$97,$J$103,IF(F146=$O$97,$O$103,IF(F146=$P$97,$P$103,0)))))))</f>
        <v>20303329.369729865</v>
      </c>
      <c r="L146" s="141">
        <f t="shared" si="82"/>
        <v>13617120.536008334</v>
      </c>
      <c r="M146" s="141">
        <f t="shared" si="82"/>
        <v>31078275.161593806</v>
      </c>
      <c r="N146" s="141">
        <f t="shared" si="82"/>
        <v>0</v>
      </c>
      <c r="O146" s="356"/>
      <c r="P146" s="357"/>
      <c r="Q146" s="357"/>
      <c r="R146" s="357"/>
      <c r="S146" s="357"/>
      <c r="T146" s="357"/>
      <c r="U146" s="357"/>
      <c r="V146" s="357"/>
      <c r="W146" s="358"/>
      <c r="X146" s="301">
        <v>1</v>
      </c>
    </row>
    <row r="147" spans="2:24" x14ac:dyDescent="0.25">
      <c r="E147" s="78" t="s">
        <v>241</v>
      </c>
      <c r="F147" s="21">
        <f t="shared" si="80"/>
        <v>1</v>
      </c>
      <c r="G147" s="21">
        <f t="shared" si="80"/>
        <v>2</v>
      </c>
      <c r="H147" s="21">
        <f t="shared" si="80"/>
        <v>6</v>
      </c>
      <c r="I147" s="21">
        <f t="shared" si="80"/>
        <v>7</v>
      </c>
      <c r="J147" s="11">
        <f t="shared" si="81"/>
        <v>81112749.475343183</v>
      </c>
      <c r="K147" s="135">
        <f t="shared" si="82"/>
        <v>20303329.369729865</v>
      </c>
      <c r="L147" s="141">
        <f t="shared" si="82"/>
        <v>13617120.536008334</v>
      </c>
      <c r="M147" s="141">
        <f t="shared" si="82"/>
        <v>17485907.012256335</v>
      </c>
      <c r="N147" s="141">
        <f t="shared" si="82"/>
        <v>29706392.557348657</v>
      </c>
      <c r="O147" s="29">
        <f>J147/$J$146</f>
        <v>1.2479129304662315</v>
      </c>
      <c r="P147" s="165">
        <f>IF(AND(O147&gt;0,1&gt;=O147),0,IF(AND(O147&gt;1,1.3&gt;=O147),0.97,IF(AND(O147&gt;1.3,1.5&gt;=O147),0.95,0.9)))</f>
        <v>0.97</v>
      </c>
      <c r="Q147" s="9">
        <f>IF(P147=0,0,1-P147)</f>
        <v>3.0000000000000027E-2</v>
      </c>
      <c r="R147" s="150">
        <f ca="1">Q147*$F$135</f>
        <v>146.40306070695769</v>
      </c>
      <c r="S147" s="23">
        <f ca="1">R147*$F$137</f>
        <v>6.1219947114895222E-2</v>
      </c>
      <c r="T147" s="7">
        <f t="shared" ref="T147:T151" si="83">$I$130</f>
        <v>13448.952517499996</v>
      </c>
      <c r="U147" s="23">
        <f ca="1">S147*T147</f>
        <v>823.34416187208672</v>
      </c>
      <c r="V147" s="23">
        <f ca="1">U147/24</f>
        <v>34.306006744670277</v>
      </c>
      <c r="W147" s="23">
        <f ca="1">V147/3600</f>
        <v>9.5294463179639664E-3</v>
      </c>
      <c r="X147" s="301">
        <f>$X$146+Q147</f>
        <v>1.03</v>
      </c>
    </row>
    <row r="148" spans="2:24" x14ac:dyDescent="0.25">
      <c r="E148" s="78" t="s">
        <v>240</v>
      </c>
      <c r="F148" s="21">
        <f t="shared" si="80"/>
        <v>1</v>
      </c>
      <c r="G148" s="21">
        <f t="shared" si="80"/>
        <v>3</v>
      </c>
      <c r="H148" s="21">
        <f t="shared" si="80"/>
        <v>4</v>
      </c>
      <c r="I148" s="21" t="str">
        <f t="shared" si="80"/>
        <v>N/A</v>
      </c>
      <c r="J148" s="11">
        <f t="shared" si="81"/>
        <v>64816183.590046033</v>
      </c>
      <c r="K148" s="135">
        <f t="shared" si="82"/>
        <v>20303329.369729865</v>
      </c>
      <c r="L148" s="141">
        <f t="shared" si="82"/>
        <v>13434579.058722368</v>
      </c>
      <c r="M148" s="141">
        <f t="shared" si="82"/>
        <v>31078275.161593806</v>
      </c>
      <c r="N148" s="141">
        <f t="shared" si="82"/>
        <v>0</v>
      </c>
      <c r="O148" s="29">
        <f t="shared" ref="O148:O151" si="84">J148/$J$146</f>
        <v>0.99719161449556326</v>
      </c>
      <c r="P148" s="165">
        <f t="shared" ref="P148:P151" si="85">IF(AND(O148&gt;0,1&gt;=O148),0,IF(AND(O148&gt;1,1.3&gt;=O148),0.97,IF(AND(O148&gt;1.3,1.5&gt;=O148),0.95,0.9)))</f>
        <v>0</v>
      </c>
      <c r="Q148" s="9">
        <f t="shared" ref="Q148:Q151" si="86">IF(P148=0,0,1-P148)</f>
        <v>0</v>
      </c>
      <c r="R148" s="150">
        <f ca="1">Q148*$F$135</f>
        <v>0</v>
      </c>
      <c r="S148" s="23">
        <f ca="1">R148*$F$137</f>
        <v>0</v>
      </c>
      <c r="T148" s="7">
        <f t="shared" si="83"/>
        <v>13448.952517499996</v>
      </c>
      <c r="U148" s="23">
        <f t="shared" ref="U148:U151" ca="1" si="87">S148*T148</f>
        <v>0</v>
      </c>
      <c r="V148" s="23">
        <f t="shared" ref="V148:V151" ca="1" si="88">U148/24</f>
        <v>0</v>
      </c>
      <c r="W148" s="23">
        <f t="shared" ref="W148:W151" ca="1" si="89">V148/3600</f>
        <v>0</v>
      </c>
      <c r="X148" s="301">
        <f t="shared" ref="X148:X151" si="90">$X$146+Q148</f>
        <v>1</v>
      </c>
    </row>
    <row r="149" spans="2:24" x14ac:dyDescent="0.25">
      <c r="E149" s="78" t="s">
        <v>242</v>
      </c>
      <c r="F149" s="21">
        <f t="shared" si="80"/>
        <v>1</v>
      </c>
      <c r="G149" s="21">
        <f t="shared" si="80"/>
        <v>3</v>
      </c>
      <c r="H149" s="21">
        <f t="shared" si="80"/>
        <v>6</v>
      </c>
      <c r="I149" s="21">
        <f t="shared" si="80"/>
        <v>7</v>
      </c>
      <c r="J149" s="11">
        <f t="shared" si="81"/>
        <v>80930207.998057216</v>
      </c>
      <c r="K149" s="135">
        <f t="shared" si="82"/>
        <v>20303329.369729865</v>
      </c>
      <c r="L149" s="141">
        <f t="shared" si="82"/>
        <v>13434579.058722368</v>
      </c>
      <c r="M149" s="141">
        <f t="shared" si="82"/>
        <v>17485907.012256335</v>
      </c>
      <c r="N149" s="141">
        <f t="shared" si="82"/>
        <v>29706392.557348657</v>
      </c>
      <c r="O149" s="29">
        <f t="shared" si="84"/>
        <v>1.2451045449617948</v>
      </c>
      <c r="P149" s="165">
        <f t="shared" si="85"/>
        <v>0.97</v>
      </c>
      <c r="Q149" s="9">
        <f t="shared" si="86"/>
        <v>3.0000000000000027E-2</v>
      </c>
      <c r="R149" s="150">
        <f ca="1">Q149*$F$135</f>
        <v>146.40306070695769</v>
      </c>
      <c r="S149" s="23">
        <f ca="1">R149*$F$137</f>
        <v>6.1219947114895222E-2</v>
      </c>
      <c r="T149" s="7">
        <f t="shared" si="83"/>
        <v>13448.952517499996</v>
      </c>
      <c r="U149" s="23">
        <f t="shared" ca="1" si="87"/>
        <v>823.34416187208672</v>
      </c>
      <c r="V149" s="23">
        <f t="shared" ca="1" si="88"/>
        <v>34.306006744670277</v>
      </c>
      <c r="W149" s="23">
        <f t="shared" ca="1" si="89"/>
        <v>9.5294463179639664E-3</v>
      </c>
      <c r="X149" s="301">
        <f t="shared" si="90"/>
        <v>1.03</v>
      </c>
    </row>
    <row r="150" spans="2:24" x14ac:dyDescent="0.25">
      <c r="E150" s="78" t="s">
        <v>243</v>
      </c>
      <c r="F150" s="21">
        <f t="shared" si="80"/>
        <v>5</v>
      </c>
      <c r="G150" s="21">
        <f t="shared" si="80"/>
        <v>6</v>
      </c>
      <c r="H150" s="21">
        <f t="shared" si="80"/>
        <v>4</v>
      </c>
      <c r="I150" s="21" t="str">
        <f t="shared" si="80"/>
        <v>N/A</v>
      </c>
      <c r="J150" s="11">
        <f t="shared" si="81"/>
        <v>88844706.535872534</v>
      </c>
      <c r="K150" s="135">
        <f t="shared" si="82"/>
        <v>40280524.362022392</v>
      </c>
      <c r="L150" s="141">
        <f t="shared" si="82"/>
        <v>17485907.012256335</v>
      </c>
      <c r="M150" s="141">
        <f t="shared" si="82"/>
        <v>31078275.161593806</v>
      </c>
      <c r="N150" s="141">
        <f t="shared" si="82"/>
        <v>0</v>
      </c>
      <c r="O150" s="29">
        <f t="shared" si="84"/>
        <v>1.3668684492478667</v>
      </c>
      <c r="P150" s="165">
        <f t="shared" si="85"/>
        <v>0.95</v>
      </c>
      <c r="Q150" s="9">
        <f t="shared" si="86"/>
        <v>5.0000000000000044E-2</v>
      </c>
      <c r="R150" s="150">
        <f ca="1">Q150*$F$135</f>
        <v>244.00510117826283</v>
      </c>
      <c r="S150" s="23">
        <f ca="1">R150*$F$137</f>
        <v>0.10203324519149204</v>
      </c>
      <c r="T150" s="7">
        <f t="shared" si="83"/>
        <v>13448.952517499996</v>
      </c>
      <c r="U150" s="23">
        <f t="shared" ca="1" si="87"/>
        <v>1372.2402697868113</v>
      </c>
      <c r="V150" s="23">
        <f t="shared" ca="1" si="88"/>
        <v>57.176677907783805</v>
      </c>
      <c r="W150" s="23">
        <f t="shared" ca="1" si="89"/>
        <v>1.5882410529939946E-2</v>
      </c>
      <c r="X150" s="301">
        <f t="shared" si="90"/>
        <v>1.05</v>
      </c>
    </row>
    <row r="151" spans="2:24" x14ac:dyDescent="0.25">
      <c r="E151" s="78" t="s">
        <v>244</v>
      </c>
      <c r="F151" s="21">
        <f t="shared" si="80"/>
        <v>5</v>
      </c>
      <c r="G151" s="21">
        <f t="shared" si="80"/>
        <v>7</v>
      </c>
      <c r="H151" s="21" t="str">
        <f t="shared" si="80"/>
        <v>N/A</v>
      </c>
      <c r="I151" s="21" t="str">
        <f t="shared" si="80"/>
        <v>N/A</v>
      </c>
      <c r="J151" s="11">
        <f t="shared" si="81"/>
        <v>69986916.919371054</v>
      </c>
      <c r="K151" s="135">
        <f t="shared" si="82"/>
        <v>40280524.362022392</v>
      </c>
      <c r="L151" s="141">
        <f t="shared" si="82"/>
        <v>29706392.557348657</v>
      </c>
      <c r="M151" s="141">
        <f t="shared" si="82"/>
        <v>0</v>
      </c>
      <c r="N151" s="141">
        <f t="shared" si="82"/>
        <v>0</v>
      </c>
      <c r="O151" s="29">
        <f t="shared" si="84"/>
        <v>1.0767429183706572</v>
      </c>
      <c r="P151" s="165">
        <f t="shared" si="85"/>
        <v>0.97</v>
      </c>
      <c r="Q151" s="9">
        <f t="shared" si="86"/>
        <v>3.0000000000000027E-2</v>
      </c>
      <c r="R151" s="150">
        <f ca="1">Q151*$F$135</f>
        <v>146.40306070695769</v>
      </c>
      <c r="S151" s="23">
        <f ca="1">R151*$F$137</f>
        <v>6.1219947114895222E-2</v>
      </c>
      <c r="T151" s="7">
        <f t="shared" si="83"/>
        <v>13448.952517499996</v>
      </c>
      <c r="U151" s="23">
        <f t="shared" ca="1" si="87"/>
        <v>823.34416187208672</v>
      </c>
      <c r="V151" s="23">
        <f t="shared" ca="1" si="88"/>
        <v>34.306006744670277</v>
      </c>
      <c r="W151" s="23">
        <f t="shared" ca="1" si="89"/>
        <v>9.5294463179639664E-3</v>
      </c>
      <c r="X151" s="301">
        <f t="shared" si="90"/>
        <v>1.03</v>
      </c>
    </row>
    <row r="152" spans="2:24" x14ac:dyDescent="0.25">
      <c r="E152" s="151" t="s">
        <v>76</v>
      </c>
      <c r="F152" s="25" t="s">
        <v>64</v>
      </c>
      <c r="N152" s="33"/>
    </row>
    <row r="153" spans="2:24" x14ac:dyDescent="0.25">
      <c r="E153" s="26" t="s">
        <v>79</v>
      </c>
      <c r="F153" s="8" t="s">
        <v>148</v>
      </c>
      <c r="I153" s="18"/>
      <c r="J153" s="38"/>
    </row>
  </sheetData>
  <mergeCells count="19">
    <mergeCell ref="H108:H109"/>
    <mergeCell ref="I108:I109"/>
    <mergeCell ref="E5:E6"/>
    <mergeCell ref="E18:E19"/>
    <mergeCell ref="E31:E32"/>
    <mergeCell ref="E44:E45"/>
    <mergeCell ref="E57:E58"/>
    <mergeCell ref="E70:E71"/>
    <mergeCell ref="E83:E84"/>
    <mergeCell ref="E108:E109"/>
    <mergeCell ref="F108:F109"/>
    <mergeCell ref="G108:G109"/>
    <mergeCell ref="E120:E121"/>
    <mergeCell ref="O146:W146"/>
    <mergeCell ref="E143:E145"/>
    <mergeCell ref="F143:F145"/>
    <mergeCell ref="G143:G145"/>
    <mergeCell ref="H143:H145"/>
    <mergeCell ref="I143:I145"/>
  </mergeCells>
  <hyperlinks>
    <hyperlink ref="F152" r:id="rId1"/>
  </hyperlinks>
  <pageMargins left="0.7" right="0.7" top="0.75" bottom="0.75" header="0.3" footer="0.3"/>
  <pageSetup scale="61" fitToHeight="0" orientation="landscape" horizontalDpi="1200" verticalDpi="1200"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>
    <pageSetUpPr fitToPage="1"/>
  </sheetPr>
  <dimension ref="B1:T144"/>
  <sheetViews>
    <sheetView topLeftCell="D97" zoomScale="115" zoomScaleNormal="115" workbookViewId="0">
      <selection activeCell="R122" sqref="R122"/>
    </sheetView>
  </sheetViews>
  <sheetFormatPr baseColWidth="10" defaultColWidth="11.5703125" defaultRowHeight="15" x14ac:dyDescent="0.25"/>
  <cols>
    <col min="1" max="1" width="11.5703125" style="156"/>
    <col min="2" max="2" width="11.85546875" style="106" customWidth="1"/>
    <col min="3" max="3" width="15.85546875" style="156" customWidth="1"/>
    <col min="4" max="4" width="2.140625" style="156" customWidth="1"/>
    <col min="5" max="10" width="17.28515625" style="156" customWidth="1"/>
    <col min="11" max="14" width="17.28515625" style="156" hidden="1" customWidth="1"/>
    <col min="15" max="19" width="18.7109375" style="156" customWidth="1"/>
    <col min="20" max="25" width="18.42578125" style="156" customWidth="1"/>
    <col min="26" max="16384" width="11.5703125" style="156"/>
  </cols>
  <sheetData>
    <row r="1" spans="2:20" x14ac:dyDescent="0.25">
      <c r="B1" s="105" t="s">
        <v>34</v>
      </c>
    </row>
    <row r="2" spans="2:20" x14ac:dyDescent="0.25">
      <c r="B2" s="55" t="s">
        <v>317</v>
      </c>
    </row>
    <row r="3" spans="2:20" x14ac:dyDescent="0.25">
      <c r="B3" s="156"/>
      <c r="E3" s="6" t="s">
        <v>47</v>
      </c>
      <c r="F3" s="3">
        <f ca="1">MCI!C71</f>
        <v>1573.4785661290784</v>
      </c>
      <c r="G3" s="156" t="s">
        <v>49</v>
      </c>
      <c r="H3" s="5" t="s">
        <v>48</v>
      </c>
    </row>
    <row r="4" spans="2:20" x14ac:dyDescent="0.25">
      <c r="B4" s="55"/>
    </row>
    <row r="5" spans="2:20" x14ac:dyDescent="0.25">
      <c r="E5" s="5"/>
    </row>
    <row r="6" spans="2:20" x14ac:dyDescent="0.25">
      <c r="E6" s="153" t="s">
        <v>19</v>
      </c>
      <c r="F6" s="82" t="s">
        <v>24</v>
      </c>
      <c r="G6" s="82" t="s">
        <v>41</v>
      </c>
      <c r="H6" s="82" t="s">
        <v>290</v>
      </c>
      <c r="I6" s="82" t="s">
        <v>20</v>
      </c>
      <c r="J6" s="154" t="s">
        <v>36</v>
      </c>
      <c r="K6" s="153"/>
      <c r="L6" s="153"/>
      <c r="M6" s="153"/>
      <c r="O6" s="154" t="s">
        <v>21</v>
      </c>
      <c r="P6" s="82" t="s">
        <v>292</v>
      </c>
      <c r="Q6" s="82" t="s">
        <v>77</v>
      </c>
      <c r="R6" s="82" t="s">
        <v>42</v>
      </c>
      <c r="S6" s="82" t="s">
        <v>50</v>
      </c>
      <c r="T6" s="82" t="s">
        <v>31</v>
      </c>
    </row>
    <row r="7" spans="2:20" x14ac:dyDescent="0.25">
      <c r="E7" s="352" t="s">
        <v>1</v>
      </c>
      <c r="F7" s="153" t="s">
        <v>6</v>
      </c>
      <c r="G7" s="142" t="s">
        <v>309</v>
      </c>
      <c r="H7" s="142" t="str">
        <f>G7</f>
        <v>(persona/veh)</v>
      </c>
      <c r="I7" s="153" t="s">
        <v>7</v>
      </c>
      <c r="J7" s="153" t="s">
        <v>142</v>
      </c>
      <c r="K7" s="153"/>
      <c r="L7" s="153"/>
      <c r="M7" s="153"/>
      <c r="O7" s="153" t="s">
        <v>8</v>
      </c>
      <c r="P7" s="153" t="s">
        <v>11</v>
      </c>
      <c r="Q7" s="153" t="s">
        <v>287</v>
      </c>
      <c r="R7" s="153" t="s">
        <v>9</v>
      </c>
      <c r="S7" s="153" t="s">
        <v>45</v>
      </c>
      <c r="T7" s="153" t="s">
        <v>46</v>
      </c>
    </row>
    <row r="8" spans="2:20" ht="75" x14ac:dyDescent="0.25">
      <c r="E8" s="352"/>
      <c r="F8" s="152" t="s">
        <v>5</v>
      </c>
      <c r="G8" s="152" t="s">
        <v>112</v>
      </c>
      <c r="H8" s="152" t="s">
        <v>289</v>
      </c>
      <c r="I8" s="152" t="s">
        <v>3</v>
      </c>
      <c r="J8" s="152" t="s">
        <v>143</v>
      </c>
      <c r="K8" s="153"/>
      <c r="L8" s="153"/>
      <c r="M8" s="153"/>
      <c r="O8" s="152" t="s">
        <v>4</v>
      </c>
      <c r="P8" s="152" t="s">
        <v>10</v>
      </c>
      <c r="Q8" s="152" t="s">
        <v>288</v>
      </c>
      <c r="R8" s="152" t="s">
        <v>12</v>
      </c>
      <c r="S8" s="152" t="s">
        <v>44</v>
      </c>
      <c r="T8" s="152" t="s">
        <v>51</v>
      </c>
    </row>
    <row r="9" spans="2:20" x14ac:dyDescent="0.25">
      <c r="E9" s="153" t="str">
        <f>MCI!B42</f>
        <v>A</v>
      </c>
      <c r="F9" s="27">
        <f>MCI!J42</f>
        <v>0.79800000000000004</v>
      </c>
      <c r="G9" s="121">
        <f>MCI!E121</f>
        <v>2.2799999999999998</v>
      </c>
      <c r="H9" s="121">
        <f>G9-1</f>
        <v>1.2799999999999998</v>
      </c>
      <c r="I9" s="153">
        <f>F9*$C$16</f>
        <v>4355.8829999999998</v>
      </c>
      <c r="J9" s="21">
        <f>I9*$C$12/1000</f>
        <v>197757.0882</v>
      </c>
      <c r="K9" s="135">
        <f>IF(AND(C14=2,C13="P"),T!$I$66,IF(AND(C14=4,C13="P"),T!$I$67,IF(AND(C14=6,C13="P"),T!$I$68,IF(AND(C14=8,C13="P"),T!$I$69,IF(AND(C14=10,C13="P"),T!$I$70,IF(AND(C14=12,C13="P"),T!$I$71,0))))))</f>
        <v>0</v>
      </c>
      <c r="L9" s="135">
        <f>IF(AND(C14=2,C13="L"),T!$J$66,IF(AND(C14=4,C13="L"),T!$J$67,IF(AND(C14=6,C13="L"),T!$J$68,IF(AND(C14=8,C13="L"),T!$J$69,IF(AND(C14=10,C13="L"),T!$J$70,IF(AND(C14=12,C13="L"),T!$J$71,0))))))</f>
        <v>65.94</v>
      </c>
      <c r="M9" s="135">
        <f>IF(AND(C14=2,C13="M"),T!$K$66,IF(AND(C14=4,C13="M"),T!$K$67,IF(AND(C14=6,C13="M"),T!$K$68,IF(AND(C14=8,C13="M"),T!$K$69,IF(AND(C14=10,C13="M"),T!$K$70,IF(AND(C14=12,C13="M"),T!$K$71,0))))))</f>
        <v>0</v>
      </c>
      <c r="O9" s="153">
        <f t="shared" ref="O9:O15" si="0">SUM(K9:M9)</f>
        <v>65.94</v>
      </c>
      <c r="P9" s="7">
        <f t="shared" ref="P9:P16" si="1">C$12*3600/(O9*1000)</f>
        <v>2478.6169244767971</v>
      </c>
      <c r="Q9" s="7">
        <f t="shared" ref="Q9:Q16" si="2">P9*I9</f>
        <v>10796565.324840764</v>
      </c>
      <c r="R9" s="153">
        <f t="shared" ref="R9:R16" si="3">Q9*H9</f>
        <v>13819603.615796175</v>
      </c>
      <c r="S9" s="20">
        <f>MCI!D121</f>
        <v>206.89667499999999</v>
      </c>
      <c r="T9" s="22">
        <f t="shared" ref="T9:T16" ca="1" si="4">S9*J9*$F$3/1000000</f>
        <v>64379.322410936722</v>
      </c>
    </row>
    <row r="10" spans="2:20" x14ac:dyDescent="0.25">
      <c r="B10" s="156"/>
      <c r="E10" s="153" t="str">
        <f>MCI!B43</f>
        <v xml:space="preserve"> B</v>
      </c>
      <c r="F10" s="27">
        <f>MCI!J43</f>
        <v>3.4000000000000002E-2</v>
      </c>
      <c r="G10" s="121">
        <f>MCI!E122</f>
        <v>12.81</v>
      </c>
      <c r="H10" s="121">
        <f t="shared" ref="H10:H16" si="5">G10-1</f>
        <v>11.81</v>
      </c>
      <c r="I10" s="153">
        <f t="shared" ref="I10:I16" si="6">F10*$C$16</f>
        <v>185.58900000000003</v>
      </c>
      <c r="J10" s="21">
        <f t="shared" ref="J10:J16" si="7">I10*$C$12/1000</f>
        <v>8425.740600000001</v>
      </c>
      <c r="K10" s="135">
        <f>IF(AND(C14=2,C13="P"),T!$I$56,IF(AND(C14=4,C13="P"),T!$I$57,IF(AND(C14=6,C13="P"),T!$I$58,IF(AND(C14=8,C13="P"),T!$I$59,IF(AND(C14=10,C13="P"),T!$I$60,IF(AND(C14=12,C13="P"),T!$I$61,0))))))</f>
        <v>0</v>
      </c>
      <c r="L10" s="135">
        <f>IF(AND(C14=2,C13="L"),T!$J$56,IF(AND(C14=4,C13="L"),T!$J$57,IF(AND(C14=6,C13="L"),T!$J$58,IF(AND(C14=8,C13="L"),T!$J$59,IF(AND(C14=10,C13="L"),T!$J$60,IF(AND(C14=12,C13="L"),T!$J$61,0))))))</f>
        <v>62.12</v>
      </c>
      <c r="M10" s="135">
        <f>IF(AND(C14=2,C13="M"),T!$K$56,IF(AND(C14=4,C13="M"),T!$K$57,IF(AND(C14=6,C13="M"),T!$K$58,IF(AND(C14=8,C13="M"),T!$K$59,IF(AND(C14=10,C13="M"),T!$K$60,IF(AND(C14=12,C13="M"),T!$K$61,0))))))</f>
        <v>0</v>
      </c>
      <c r="O10" s="153">
        <f t="shared" si="0"/>
        <v>62.12</v>
      </c>
      <c r="P10" s="7">
        <f t="shared" si="1"/>
        <v>2631.0367031551837</v>
      </c>
      <c r="Q10" s="7">
        <f t="shared" si="2"/>
        <v>488291.47070186742</v>
      </c>
      <c r="R10" s="153">
        <f t="shared" si="3"/>
        <v>5766722.2689890545</v>
      </c>
      <c r="S10" s="20">
        <f>MCI!D122</f>
        <v>426.38069999999999</v>
      </c>
      <c r="T10" s="22">
        <f t="shared" ca="1" si="4"/>
        <v>5652.8368881858323</v>
      </c>
    </row>
    <row r="11" spans="2:20" x14ac:dyDescent="0.25">
      <c r="B11" s="175" t="str">
        <f>MCI!$B$21</f>
        <v>Tramo</v>
      </c>
      <c r="C11" s="121">
        <f>MCI!C21</f>
        <v>1</v>
      </c>
      <c r="E11" s="153" t="str">
        <f>MCI!B44</f>
        <v>C2</v>
      </c>
      <c r="F11" s="27">
        <f>MCI!J44</f>
        <v>7.0166666666666669E-2</v>
      </c>
      <c r="G11" s="121">
        <f>MCI!E123</f>
        <v>1.37</v>
      </c>
      <c r="H11" s="121">
        <f t="shared" si="5"/>
        <v>0.37000000000000011</v>
      </c>
      <c r="I11" s="153">
        <f t="shared" si="6"/>
        <v>383.00475</v>
      </c>
      <c r="J11" s="21">
        <f t="shared" si="7"/>
        <v>17388.415649999999</v>
      </c>
      <c r="K11" s="135">
        <f>IF(AND(C14=2,C13="P"),T!$I$46,IF(AND(C14=4,C13="P"),T!$I$47,IF(AND(C14=6,C13="P"),T!$I$48,IF(AND(C14=8,C13="P"),T!$I$49,IF(AND(C14=10,C13="P"),T!$I$50,IF(AND(C14=12,C13="P"),T!$I$51,0))))))</f>
        <v>0</v>
      </c>
      <c r="L11" s="135">
        <f>IF(AND(C14=2,C13="L"),T!$J$46,IF(AND(C14=4,C13="L"),T!$J$47,IF(AND(C14=6,C13="L"),T!$J$48,IF(AND(C14=8,C13="L"),T!$J$49,IF(AND(C14=10,C13="L"),T!$J$50,IF(AND(C14=12,C13="L"),T!$J$51,0))))))</f>
        <v>53.77</v>
      </c>
      <c r="M11" s="135">
        <f>IF(AND(C14=2,C13="M"),T!$K$46,IF(AND(C14=4,C13="M"),T!$K$47,IF(AND(C14=6,C13="M"),T!$K$48,IF(AND(C14=8,C13="M"),T!$K$49,IF(AND(C14=10,C13="M"),T!$K$50,IF(AND(C14=12,C13="M"),T!$K$51,0))))))</f>
        <v>0</v>
      </c>
      <c r="O11" s="153">
        <f t="shared" si="0"/>
        <v>53.77</v>
      </c>
      <c r="P11" s="7">
        <f t="shared" si="1"/>
        <v>3039.6131671936023</v>
      </c>
      <c r="Q11" s="7">
        <f t="shared" si="2"/>
        <v>1164186.2811976939</v>
      </c>
      <c r="R11" s="153">
        <f t="shared" si="3"/>
        <v>430748.92404314689</v>
      </c>
      <c r="S11" s="20">
        <f>MCI!D123</f>
        <v>298.98342500000001</v>
      </c>
      <c r="T11" s="22">
        <f t="shared" ca="1" si="4"/>
        <v>8180.2760009800113</v>
      </c>
    </row>
    <row r="12" spans="2:20" ht="14.45" customHeight="1" x14ac:dyDescent="0.25">
      <c r="B12" s="176" t="s">
        <v>236</v>
      </c>
      <c r="C12" s="76">
        <f>MCI!C23</f>
        <v>45400</v>
      </c>
      <c r="E12" s="153" t="str">
        <f>MCI!B45</f>
        <v>C3</v>
      </c>
      <c r="F12" s="27">
        <f>MCI!J45</f>
        <v>2.0833333333333332E-2</v>
      </c>
      <c r="G12" s="121">
        <f>MCI!E124</f>
        <v>1.23</v>
      </c>
      <c r="H12" s="121">
        <f t="shared" si="5"/>
        <v>0.22999999999999998</v>
      </c>
      <c r="I12" s="153">
        <f t="shared" si="6"/>
        <v>113.71875</v>
      </c>
      <c r="J12" s="21">
        <f t="shared" si="7"/>
        <v>5162.8312500000002</v>
      </c>
      <c r="K12" s="135">
        <f>IF(AND(C14=2,C13="P"),T!$I$36,IF(AND(C14=4,C13="P"),T!$I$37,IF(AND(C14=6,C13="P"),T!$I$38,IF(AND(C14=8,C13="P"),T!$I$39,IF(AND(C14=10,C13="P"),T!$I$40,IF(AND(C14=12,C13="P"),T!$I$41,0))))))</f>
        <v>0</v>
      </c>
      <c r="L12" s="135">
        <f>IF(AND(C14=2,C13="L"),T!$J$36,IF(AND(C14=4,C13="L"),T!$J$37,IF(AND(C14=6,C13="L"),T!$J$38,IF(AND(C14=8,C13="L"),T!$J$39,IF(AND(C14=10,C13="L"),T!$J$40,IF(AND(C14=12,C13="L"),T!$J$41,0))))))</f>
        <v>46.26</v>
      </c>
      <c r="M12" s="135">
        <f>IF(AND(C14=2,C13="M"),T!$K$36,IF(AND(C14=4,C13="M"),T!$K$37,IF(AND(C14=6,C13="M"),T!$K$38,IF(AND(C14=8,C13="M"),T!$K$39,IF(AND(C14=10,C13="M"),T!$K$40,IF(AND(C14=12,C13="M"),T!$K$41,0))))))</f>
        <v>0</v>
      </c>
      <c r="O12" s="153">
        <f t="shared" si="0"/>
        <v>46.26</v>
      </c>
      <c r="P12" s="7">
        <f t="shared" si="1"/>
        <v>3533.0739299610896</v>
      </c>
      <c r="Q12" s="7">
        <f t="shared" si="2"/>
        <v>401776.75097276265</v>
      </c>
      <c r="R12" s="153">
        <f t="shared" si="3"/>
        <v>92408.652723735402</v>
      </c>
      <c r="S12" s="20">
        <f>MCI!D124</f>
        <v>924.03227500000003</v>
      </c>
      <c r="T12" s="22">
        <f t="shared" ca="1" si="4"/>
        <v>7506.4725740019348</v>
      </c>
    </row>
    <row r="13" spans="2:20" x14ac:dyDescent="0.25">
      <c r="B13" s="176" t="str">
        <f>MCI!$B$24</f>
        <v>Tipo de terreno</v>
      </c>
      <c r="C13" s="121" t="str">
        <f>IF(MCI!C24=LISTA!A2,"P",IF(MCI!C24=LISTA!A3,"L",IF(MCI!C24=LISTA!A4,"M",0)))</f>
        <v>L</v>
      </c>
      <c r="E13" s="153" t="str">
        <f>MCI!B46</f>
        <v>T3S2</v>
      </c>
      <c r="F13" s="27">
        <f>MCI!J46</f>
        <v>4.8333333333333339E-2</v>
      </c>
      <c r="G13" s="121">
        <f>MCI!E125</f>
        <v>1.1399999999999999</v>
      </c>
      <c r="H13" s="121">
        <f t="shared" si="5"/>
        <v>0.1399999999999999</v>
      </c>
      <c r="I13" s="153">
        <f t="shared" si="6"/>
        <v>263.82750000000004</v>
      </c>
      <c r="J13" s="21">
        <f t="shared" si="7"/>
        <v>11977.768500000002</v>
      </c>
      <c r="K13" s="135">
        <f>IF(AND(C14=2,C13="P"),T!$I$26,IF(AND(C14=4,C13="P"),T!$I$27,IF(AND(C14=6,C13="P"),T!$I$28,IF(AND(C14=8,C13="P"),T!$I$29,IF(AND(C14=10,C13="P"),T!$I$30,IF(AND(C14=12,C13="P"),T!$I$31,0))))))</f>
        <v>0</v>
      </c>
      <c r="L13" s="135">
        <f>IF(AND(C14=2,C13="L"),T!$J$26,IF(AND(C14=4,C13="L"),T!$J$27,IF(AND(C14=6,C13="L"),T!$J$28,IF(AND(C14=8,C13="L"),T!$J$29,IF(AND(C14=10,C13="L"),T!$J$30,IF(AND(C14=12,C13="L"),T!$J$31,0))))))</f>
        <v>50.12</v>
      </c>
      <c r="M13" s="135">
        <f>IF(AND(C14=2,C13="M"),T!$K$26,IF(AND(C14=4,C13="M"),T!$K$27,IF(AND(C14=6,C13="M"),T!$K$28,IF(AND(C14=8,C13="M"),T!$K$29,IF(AND(C14=10,C13="M"),T!$K$30,IF(AND(C14=12,C13="M"),T!$K$31,0))))))</f>
        <v>0</v>
      </c>
      <c r="O13" s="153">
        <f t="shared" si="0"/>
        <v>50.12</v>
      </c>
      <c r="P13" s="7">
        <f t="shared" si="1"/>
        <v>3260.9736632083</v>
      </c>
      <c r="Q13" s="7">
        <f t="shared" si="2"/>
        <v>860334.52913008793</v>
      </c>
      <c r="R13" s="153">
        <f t="shared" si="3"/>
        <v>120446.83407821222</v>
      </c>
      <c r="S13" s="20">
        <f>MCI!D125</f>
        <v>831.62905000000001</v>
      </c>
      <c r="T13" s="22">
        <f t="shared" ca="1" si="4"/>
        <v>15673.514781632948</v>
      </c>
    </row>
    <row r="14" spans="2:20" x14ac:dyDescent="0.25">
      <c r="B14" s="176" t="str">
        <f>MCI!$B$25</f>
        <v>IIR</v>
      </c>
      <c r="C14" s="77">
        <f>IF(MCI!C25=LISTA!D2,2,IF(MCI!C25=LISTA!D3,4,IF(MCI!C25=LISTA!D4,6,IF(MCI!C25=LISTA!D5,8,IF(MCI!C25=LISTA!D6,10,IF(MCI!C25=LISTA!D7,12,0))))))</f>
        <v>4</v>
      </c>
      <c r="D14" s="3"/>
      <c r="E14" s="153" t="str">
        <f>MCI!B47</f>
        <v xml:space="preserve"> T3S3</v>
      </c>
      <c r="F14" s="27">
        <f>MCI!J47</f>
        <v>1.55E-2</v>
      </c>
      <c r="G14" s="121">
        <f>MCI!E126</f>
        <v>1.1399999999999999</v>
      </c>
      <c r="H14" s="121">
        <f t="shared" si="5"/>
        <v>0.1399999999999999</v>
      </c>
      <c r="I14" s="153">
        <f t="shared" si="6"/>
        <v>84.606750000000005</v>
      </c>
      <c r="J14" s="21">
        <f t="shared" si="7"/>
        <v>3841.1464500000002</v>
      </c>
      <c r="K14" s="135">
        <f>IF(AND(C14=2,C13="P"),T!$I$16,IF(AND(C14=4,C13="P"),T!$I$17,IF(AND(C14=6,C13="P"),T!$I$18,IF(AND(C14=8,C13="P"),T!$I$19,IF(AND(C14=10,C13="P"),T!$I$20,IF(AND(C14=12,C13="P"),T!$I$21,0))))))</f>
        <v>0</v>
      </c>
      <c r="L14" s="135">
        <f>IF(AND(C14=2,C13="L"),T!$J$16,IF(AND(C14=4,C13="L"),T!$J$17,IF(AND(C14=6,C13="L"),T!$J$18,IF(AND(C14=8,C13="L"),T!$J$19,IF(AND(C14=10,C13="L"),T!$J$20,IF(AND(C14=12,C13="L"),T!$J$21,0))))))</f>
        <v>43.36</v>
      </c>
      <c r="M14" s="135">
        <f>IF(AND(C14=2,C13="M"),T!$K$16,IF(AND(C14=4,C13="M"),T!$K$17,IF(AND(C14=6,C13="M"),T!$K$18,IF(AND(C14=8,C13="M"),T!$K$19,IF(AND(C14=10,C13="M"),T!$K$20,IF(AND(C14=12,C13="M"),T!$K$21,0))))))</f>
        <v>0</v>
      </c>
      <c r="O14" s="153">
        <f t="shared" si="0"/>
        <v>43.36</v>
      </c>
      <c r="P14" s="7">
        <f t="shared" si="1"/>
        <v>3769.3726937269371</v>
      </c>
      <c r="Q14" s="7">
        <f t="shared" si="2"/>
        <v>318914.37315498153</v>
      </c>
      <c r="R14" s="153">
        <f t="shared" si="3"/>
        <v>44648.012241697383</v>
      </c>
      <c r="S14" s="20">
        <f>MCI!D126</f>
        <v>1396.2482500000001</v>
      </c>
      <c r="T14" s="22">
        <f t="shared" ca="1" si="4"/>
        <v>8438.8708188484634</v>
      </c>
    </row>
    <row r="15" spans="2:20" x14ac:dyDescent="0.25">
      <c r="B15" s="176" t="str">
        <f>MCI!$B$22</f>
        <v>Descripción</v>
      </c>
      <c r="C15" s="104" t="str">
        <f>MCI!C22</f>
        <v>Toluca - Atlacomulco (57)</v>
      </c>
      <c r="D15" s="3"/>
      <c r="E15" s="153" t="str">
        <f>MCI!B48</f>
        <v xml:space="preserve"> T3S2R4</v>
      </c>
      <c r="F15" s="27">
        <f>MCI!J48</f>
        <v>1.0166666666666666E-2</v>
      </c>
      <c r="G15" s="121">
        <f>MCI!E127</f>
        <v>1.0900000000000001</v>
      </c>
      <c r="H15" s="121">
        <f t="shared" si="5"/>
        <v>9.000000000000008E-2</v>
      </c>
      <c r="I15" s="153">
        <f t="shared" si="6"/>
        <v>55.494749999999996</v>
      </c>
      <c r="J15" s="21">
        <f t="shared" si="7"/>
        <v>2519.4616499999997</v>
      </c>
      <c r="K15" s="135">
        <f>IF(AND(C14=2,C13="P"),T!$I$6,IF(AND(C14=4,C13="P"),T!$I$7,IF(AND(C14=6,C13="P"),T!$I$8,IF(AND(C14=8,C13="P"),T!$I$9,IF(AND(C14=10,C13="P"),T!$I$10,IF(AND(C14=12,C13="P"),T!$I$11,0))))))</f>
        <v>0</v>
      </c>
      <c r="L15" s="135">
        <f>IF(AND(C14=2,C13="L"),T!$J$6,IF(AND(C14=4,C13="L"),T!$J$7,IF(AND(C14=6,C13="L"),T!$J$8,IF(AND(C14=8,C13="L"),T!$J$9,IF(AND(C14=10,C13="L"),T!$J$10,IF(AND(C14=12,C13="L"),T!$J$11,0))))))</f>
        <v>34</v>
      </c>
      <c r="M15" s="135">
        <f>IF(AND(C14=2,C13="M"),T!$K$6,IF(AND(C14=4,C13="M"),T!$K$7,IF(AND(C14=6,C13="M"),T!$K$8,IF(AND(C14=8,C13="M"),T!$K$9,IF(AND(C14=10,C13="M"),T!$K$10,IF(AND(C14=12,C13="M"),T!$K$11,0))))))</f>
        <v>0</v>
      </c>
      <c r="O15" s="153">
        <f t="shared" si="0"/>
        <v>34</v>
      </c>
      <c r="P15" s="7">
        <f t="shared" si="1"/>
        <v>4807.0588235294117</v>
      </c>
      <c r="Q15" s="7">
        <f t="shared" si="2"/>
        <v>266766.52764705883</v>
      </c>
      <c r="R15" s="153">
        <f t="shared" si="3"/>
        <v>24008.987488235314</v>
      </c>
      <c r="S15" s="20">
        <f>MCI!D127</f>
        <v>1535.873075</v>
      </c>
      <c r="T15" s="22">
        <f t="shared" ca="1" si="4"/>
        <v>6088.6906660723853</v>
      </c>
    </row>
    <row r="16" spans="2:20" x14ac:dyDescent="0.25">
      <c r="B16" s="176" t="s">
        <v>262</v>
      </c>
      <c r="C16" s="121">
        <f>MCI!C58</f>
        <v>5458.5</v>
      </c>
      <c r="E16" s="153" t="str">
        <f>MCI!B49</f>
        <v xml:space="preserve"> OTROS</v>
      </c>
      <c r="F16" s="27">
        <f>MCI!J49</f>
        <v>3.0000000000000768E-3</v>
      </c>
      <c r="G16" s="121">
        <f>MCI!E128</f>
        <v>1.0900000000000001</v>
      </c>
      <c r="H16" s="121">
        <f t="shared" si="5"/>
        <v>9.000000000000008E-2</v>
      </c>
      <c r="I16" s="153">
        <f t="shared" si="6"/>
        <v>16.375500000000418</v>
      </c>
      <c r="J16" s="21">
        <f t="shared" si="7"/>
        <v>743.44770000001893</v>
      </c>
      <c r="K16" s="153"/>
      <c r="L16" s="153"/>
      <c r="M16" s="153"/>
      <c r="O16" s="140">
        <f>AVERAGE(O9:O15)</f>
        <v>50.795714285714283</v>
      </c>
      <c r="P16" s="7">
        <f t="shared" si="1"/>
        <v>3217.5942852321627</v>
      </c>
      <c r="Q16" s="7">
        <f t="shared" si="2"/>
        <v>52689.715217820623</v>
      </c>
      <c r="R16" s="153">
        <f t="shared" si="3"/>
        <v>4742.0743696038608</v>
      </c>
      <c r="S16" s="20">
        <f>MCI!D128</f>
        <v>802.86334999999997</v>
      </c>
      <c r="T16" s="22">
        <f t="shared" ca="1" si="4"/>
        <v>939.18876081713893</v>
      </c>
    </row>
    <row r="17" spans="2:20" x14ac:dyDescent="0.25">
      <c r="E17" s="19"/>
      <c r="F17" s="43"/>
      <c r="G17" s="43"/>
      <c r="H17" s="43"/>
      <c r="I17" s="19"/>
      <c r="J17" s="44"/>
      <c r="Q17" s="82" t="s">
        <v>17</v>
      </c>
      <c r="R17" s="153">
        <f>SUM(R9:R16)</f>
        <v>20303329.369729865</v>
      </c>
      <c r="S17" s="82" t="s">
        <v>17</v>
      </c>
      <c r="T17" s="23">
        <f ca="1">SUM(T9:T16)</f>
        <v>116859.17290147542</v>
      </c>
    </row>
    <row r="19" spans="2:20" x14ac:dyDescent="0.25">
      <c r="E19" s="153" t="s">
        <v>19</v>
      </c>
      <c r="F19" s="82" t="s">
        <v>24</v>
      </c>
      <c r="G19" s="82" t="s">
        <v>41</v>
      </c>
      <c r="H19" s="82" t="s">
        <v>290</v>
      </c>
      <c r="I19" s="82" t="s">
        <v>20</v>
      </c>
      <c r="J19" s="154" t="s">
        <v>36</v>
      </c>
      <c r="K19" s="153"/>
      <c r="L19" s="153"/>
      <c r="M19" s="153"/>
      <c r="O19" s="154" t="s">
        <v>21</v>
      </c>
      <c r="P19" s="82" t="s">
        <v>292</v>
      </c>
      <c r="Q19" s="82" t="s">
        <v>77</v>
      </c>
      <c r="R19" s="82" t="s">
        <v>42</v>
      </c>
      <c r="S19" s="82" t="s">
        <v>50</v>
      </c>
      <c r="T19" s="82" t="s">
        <v>31</v>
      </c>
    </row>
    <row r="20" spans="2:20" x14ac:dyDescent="0.25">
      <c r="E20" s="352" t="s">
        <v>1</v>
      </c>
      <c r="F20" s="153" t="s">
        <v>6</v>
      </c>
      <c r="G20" s="142" t="str">
        <f>G7</f>
        <v>(persona/veh)</v>
      </c>
      <c r="H20" s="142" t="str">
        <f>G20</f>
        <v>(persona/veh)</v>
      </c>
      <c r="I20" s="153" t="s">
        <v>7</v>
      </c>
      <c r="J20" s="153" t="s">
        <v>142</v>
      </c>
      <c r="K20" s="153"/>
      <c r="L20" s="153"/>
      <c r="M20" s="153"/>
      <c r="O20" s="153" t="s">
        <v>8</v>
      </c>
      <c r="P20" s="153" t="s">
        <v>11</v>
      </c>
      <c r="Q20" s="153" t="s">
        <v>287</v>
      </c>
      <c r="R20" s="153" t="s">
        <v>9</v>
      </c>
      <c r="S20" s="153" t="s">
        <v>45</v>
      </c>
      <c r="T20" s="153" t="s">
        <v>46</v>
      </c>
    </row>
    <row r="21" spans="2:20" ht="75" x14ac:dyDescent="0.25">
      <c r="E21" s="352"/>
      <c r="F21" s="152" t="s">
        <v>5</v>
      </c>
      <c r="G21" s="152" t="s">
        <v>112</v>
      </c>
      <c r="H21" s="152" t="s">
        <v>289</v>
      </c>
      <c r="I21" s="152" t="s">
        <v>3</v>
      </c>
      <c r="J21" s="152" t="s">
        <v>143</v>
      </c>
      <c r="K21" s="153"/>
      <c r="L21" s="153"/>
      <c r="M21" s="153"/>
      <c r="O21" s="152" t="s">
        <v>4</v>
      </c>
      <c r="P21" s="152" t="s">
        <v>10</v>
      </c>
      <c r="Q21" s="152" t="s">
        <v>288</v>
      </c>
      <c r="R21" s="152" t="s">
        <v>12</v>
      </c>
      <c r="S21" s="152" t="s">
        <v>44</v>
      </c>
      <c r="T21" s="152" t="s">
        <v>51</v>
      </c>
    </row>
    <row r="22" spans="2:20" x14ac:dyDescent="0.25">
      <c r="E22" s="153" t="str">
        <f>E9</f>
        <v>A</v>
      </c>
      <c r="F22" s="27">
        <f t="shared" ref="F22:G29" si="8">F9</f>
        <v>0.79800000000000004</v>
      </c>
      <c r="G22" s="121">
        <f>G9</f>
        <v>2.2799999999999998</v>
      </c>
      <c r="H22" s="121">
        <f>G22-1</f>
        <v>1.2799999999999998</v>
      </c>
      <c r="I22" s="153">
        <f>F22*$C$29</f>
        <v>4355.8829999999998</v>
      </c>
      <c r="J22" s="21">
        <f>I22*$C$25/1000</f>
        <v>101492.07389999999</v>
      </c>
      <c r="K22" s="135">
        <f>IF(AND(C27=2,C26="P"),T!$I$66,IF(AND(C27=4,C26="P"),T!$I$67,IF(AND(C27=6,C26="P"),T!$I$68,IF(AND(C27=8,C26="P"),T!$I$69,IF(AND(C27=10,C26="P"),T!$I$70,IF(AND(C27=12,C26="P"),T!$I$71,0))))))</f>
        <v>0</v>
      </c>
      <c r="L22" s="135">
        <f>IF(AND(C27=2,C26="L"),T!$J$66,IF(AND(C27=4,C26="L"),T!$J$67,IF(AND(C27=6,C26="L"),T!$J$68,IF(AND(C27=8,C26="L"),T!$J$69,IF(AND(C27=10,C26="L"),T!$J$70,IF(AND(C27=12,C26="L"),T!$J$71,0))))))</f>
        <v>0</v>
      </c>
      <c r="M22" s="135">
        <f>IF(AND(C27=2,C26="M"),T!$K$66,IF(AND(C27=4,C26="M"),T!$K$67,IF(AND(C27=6,C26="M"),T!$K$68,IF(AND(C27=8,C26="M"),T!$K$69,IF(AND(C27=10,C26="M"),T!$K$70,IF(AND(C27=12,C26="M"),T!$K$71,0))))))</f>
        <v>50.76</v>
      </c>
      <c r="O22" s="153">
        <f t="shared" ref="O22:O28" si="9">SUM(K22:M22)</f>
        <v>50.76</v>
      </c>
      <c r="P22" s="7">
        <f t="shared" ref="P22:P29" si="10">C$25*3600/(O22*1000)</f>
        <v>1652.4822695035461</v>
      </c>
      <c r="Q22" s="7">
        <f t="shared" ref="Q22:Q29" si="11">P22*I22</f>
        <v>7198019.4255319145</v>
      </c>
      <c r="R22" s="153">
        <f t="shared" ref="R22:R29" si="12">Q22*H22</f>
        <v>9213464.864680849</v>
      </c>
      <c r="S22" s="20">
        <f>S9</f>
        <v>206.89667499999999</v>
      </c>
      <c r="T22" s="22">
        <f t="shared" ref="T22:T29" ca="1" si="13">S22*J22*$F$3/1000000</f>
        <v>33040.48925495211</v>
      </c>
    </row>
    <row r="23" spans="2:20" x14ac:dyDescent="0.25">
      <c r="E23" s="153" t="str">
        <f t="shared" ref="E23:E29" si="14">E10</f>
        <v xml:space="preserve"> B</v>
      </c>
      <c r="F23" s="27">
        <f t="shared" si="8"/>
        <v>3.4000000000000002E-2</v>
      </c>
      <c r="G23" s="121">
        <f t="shared" si="8"/>
        <v>12.81</v>
      </c>
      <c r="H23" s="121">
        <f t="shared" ref="H23:H29" si="15">G23-1</f>
        <v>11.81</v>
      </c>
      <c r="I23" s="153">
        <f t="shared" ref="I23:I28" si="16">F23*$C$29</f>
        <v>185.58900000000003</v>
      </c>
      <c r="J23" s="21">
        <f t="shared" ref="J23:J29" si="17">I23*$C$25/1000</f>
        <v>4324.2237000000005</v>
      </c>
      <c r="K23" s="135">
        <f>IF(AND(C27=2,C26="P"),T!$I$56,IF(AND(C27=4,C26="P"),T!$I$57,IF(AND(C27=6,C26="P"),T!$I$58,IF(AND(C27=8,C26="P"),T!$I$59,IF(AND(C27=10,C26="P"),T!$I$60,IF(AND(C27=12,C26="P"),T!$I$61,0))))))</f>
        <v>0</v>
      </c>
      <c r="L23" s="135">
        <f>IF(AND(C27=2,C26="L"),T!$J$56,IF(AND(C27=4,C26="L"),T!$J$57,IF(AND(C27=6,C26="L"),T!$J$58,IF(AND(C27=8,C26="L"),T!$J$59,IF(AND(C27=10,C26="L"),T!$J$60,IF(AND(C27=12,C26="L"),T!$J$61,0))))))</f>
        <v>0</v>
      </c>
      <c r="M23" s="135">
        <f>IF(AND(C27=2,C26="M"),T!$K$56,IF(AND(C27=4,C26="M"),T!$K$57,IF(AND(C27=6,C26="M"),T!$K$58,IF(AND(C27=8,C26="M"),T!$K$59,IF(AND(C27=10,C26="M"),T!$K$60,IF(AND(C27=12,C26="M"),T!$K$61,0))))))</f>
        <v>46.94</v>
      </c>
      <c r="O23" s="153">
        <f t="shared" si="9"/>
        <v>46.94</v>
      </c>
      <c r="P23" s="7">
        <f t="shared" si="10"/>
        <v>1786.9620792501066</v>
      </c>
      <c r="Q23" s="7">
        <f t="shared" si="11"/>
        <v>331640.50532594806</v>
      </c>
      <c r="R23" s="153">
        <f t="shared" si="12"/>
        <v>3916674.3678994467</v>
      </c>
      <c r="S23" s="20">
        <f>S10</f>
        <v>426.38069999999999</v>
      </c>
      <c r="T23" s="22">
        <f t="shared" ca="1" si="13"/>
        <v>2901.1255395314956</v>
      </c>
    </row>
    <row r="24" spans="2:20" x14ac:dyDescent="0.25">
      <c r="B24" s="107" t="str">
        <f t="shared" ref="B24:B29" si="18">B11</f>
        <v>Tramo</v>
      </c>
      <c r="C24" s="153">
        <f>MCI!D21</f>
        <v>2</v>
      </c>
      <c r="E24" s="153" t="str">
        <f t="shared" si="14"/>
        <v>C2</v>
      </c>
      <c r="F24" s="27">
        <f t="shared" si="8"/>
        <v>7.0166666666666669E-2</v>
      </c>
      <c r="G24" s="121">
        <f t="shared" si="8"/>
        <v>1.37</v>
      </c>
      <c r="H24" s="121">
        <f t="shared" si="15"/>
        <v>0.37000000000000011</v>
      </c>
      <c r="I24" s="153">
        <f t="shared" si="16"/>
        <v>383.00475</v>
      </c>
      <c r="J24" s="21">
        <f t="shared" si="17"/>
        <v>8924.0106750000014</v>
      </c>
      <c r="K24" s="135">
        <f>IF(AND(C27=2,C26="P"),T!$I$46,IF(AND(C27=4,C26="P"),T!$I$47,IF(AND(C27=6,C26="P"),T!$I$48,IF(AND(C27=8,C26="P"),T!$I$49,IF(AND(C27=10,C26="P"),T!$I$50,IF(AND(C27=12,C26="P"),T!$I$51,0))))))</f>
        <v>0</v>
      </c>
      <c r="L24" s="135">
        <f>IF(AND(C27=2,C26="L"),T!$J$46,IF(AND(C27=4,C26="L"),T!$J$47,IF(AND(C27=6,C26="L"),T!$J$48,IF(AND(C27=8,C26="L"),T!$J$49,IF(AND(C27=10,C26="L"),T!$J$50,IF(AND(C27=12,C26="L"),T!$J$51,0))))))</f>
        <v>0</v>
      </c>
      <c r="M24" s="135">
        <f>IF(AND(C27=2,C26="M"),T!$K$46,IF(AND(C27=4,C26="M"),T!$K$47,IF(AND(C27=6,C26="M"),T!$K$48,IF(AND(C27=8,C26="M"),T!$K$49,IF(AND(C27=10,C26="M"),T!$K$50,IF(AND(C27=12,C26="M"),T!$K$51,0))))))</f>
        <v>41.23</v>
      </c>
      <c r="O24" s="153">
        <f t="shared" si="9"/>
        <v>41.23</v>
      </c>
      <c r="P24" s="7">
        <f t="shared" si="10"/>
        <v>2034.4409410623332</v>
      </c>
      <c r="Q24" s="7">
        <f t="shared" si="11"/>
        <v>779200.5440213437</v>
      </c>
      <c r="R24" s="153">
        <f t="shared" si="12"/>
        <v>288304.20128789725</v>
      </c>
      <c r="S24" s="20">
        <f t="shared" ref="S24:S28" si="19">S11</f>
        <v>298.98342500000001</v>
      </c>
      <c r="T24" s="22">
        <f t="shared" ca="1" si="13"/>
        <v>4198.2473749522969</v>
      </c>
    </row>
    <row r="25" spans="2:20" x14ac:dyDescent="0.25">
      <c r="B25" s="107" t="str">
        <f t="shared" si="18"/>
        <v>Longitud (m)</v>
      </c>
      <c r="C25" s="76">
        <f>MCI!D23</f>
        <v>23300</v>
      </c>
      <c r="E25" s="153" t="str">
        <f t="shared" si="14"/>
        <v>C3</v>
      </c>
      <c r="F25" s="27">
        <f t="shared" si="8"/>
        <v>2.0833333333333332E-2</v>
      </c>
      <c r="G25" s="121">
        <f t="shared" si="8"/>
        <v>1.23</v>
      </c>
      <c r="H25" s="121">
        <f t="shared" si="15"/>
        <v>0.22999999999999998</v>
      </c>
      <c r="I25" s="153">
        <f t="shared" si="16"/>
        <v>113.71875</v>
      </c>
      <c r="J25" s="21">
        <f t="shared" si="17"/>
        <v>2649.6468749999999</v>
      </c>
      <c r="K25" s="135">
        <f>IF(AND(C27=2,C26="P"),T!$I$36,IF(AND(C27=4,C26="P"),T!$I$37,IF(AND(C27=6,C26="P"),T!$I$38,IF(AND(C27=8,C26="P"),T!$I$39,IF(AND(C27=10,C26="P"),T!$I$40,IF(AND(C27=12,C26="P"),T!$I$41,0))))))</f>
        <v>0</v>
      </c>
      <c r="L25" s="135">
        <f>IF(AND(C27=2,C26="L"),T!$J$36,IF(AND(C27=4,C26="L"),T!$J$37,IF(AND(C27=6,C26="L"),T!$J$38,IF(AND(C27=8,C26="L"),T!$J$39,IF(AND(C27=10,C26="L"),T!$J$40,IF(AND(C27=12,C26="L"),T!$J$41,0))))))</f>
        <v>0</v>
      </c>
      <c r="M25" s="135">
        <f>IF(AND(C27=2,C26="M"),T!$K$36,IF(AND(C27=4,C26="M"),T!$K$37,IF(AND(C27=6,C26="M"),T!$K$38,IF(AND(C27=8,C26="M"),T!$K$39,IF(AND(C27=10,C26="M"),T!$K$40,IF(AND(C27=12,C26="M"),T!$K$41,0))))))</f>
        <v>34.86</v>
      </c>
      <c r="O25" s="153">
        <f t="shared" si="9"/>
        <v>34.86</v>
      </c>
      <c r="P25" s="7">
        <f t="shared" si="10"/>
        <v>2406.1962134251289</v>
      </c>
      <c r="Q25" s="7">
        <f t="shared" si="11"/>
        <v>273629.62564543891</v>
      </c>
      <c r="R25" s="153">
        <f t="shared" si="12"/>
        <v>62934.813898450942</v>
      </c>
      <c r="S25" s="20">
        <f t="shared" si="19"/>
        <v>924.03227500000003</v>
      </c>
      <c r="T25" s="22">
        <f t="shared" ca="1" si="13"/>
        <v>3852.4407703578208</v>
      </c>
    </row>
    <row r="26" spans="2:20" x14ac:dyDescent="0.25">
      <c r="B26" s="107" t="str">
        <f t="shared" si="18"/>
        <v>Tipo de terreno</v>
      </c>
      <c r="C26" s="121" t="str">
        <f>IF(MCI!D24=LISTA!A2,"P",IF(MCI!D24=LISTA!A3,"L",IF(MCI!D24=LISTA!A4,"M",0)))</f>
        <v>M</v>
      </c>
      <c r="E26" s="153" t="str">
        <f t="shared" si="14"/>
        <v>T3S2</v>
      </c>
      <c r="F26" s="27">
        <f t="shared" si="8"/>
        <v>4.8333333333333339E-2</v>
      </c>
      <c r="G26" s="121">
        <f t="shared" si="8"/>
        <v>1.1399999999999999</v>
      </c>
      <c r="H26" s="121">
        <f t="shared" si="15"/>
        <v>0.1399999999999999</v>
      </c>
      <c r="I26" s="153">
        <f>F26*$C$29</f>
        <v>263.82750000000004</v>
      </c>
      <c r="J26" s="21">
        <f t="shared" si="17"/>
        <v>6147.1807500000014</v>
      </c>
      <c r="K26" s="135">
        <f>IF(AND(C27=2,C26="P"),T!$I$26,IF(AND(C27=4,C26="P"),T!$I$27,IF(AND(C27=6,C26="P"),T!$I$28,IF(AND(C27=8,C26="P"),T!$I$29,IF(AND(C27=10,C26="P"),T!$I$30,IF(AND(C27=12,C26="P"),T!$I$31,0))))))</f>
        <v>0</v>
      </c>
      <c r="L26" s="135">
        <f>IF(AND(C27=2,C26="L"),T!$J$26,IF(AND(C27=4,C26="L"),T!$J$27,IF(AND(C27=6,C26="L"),T!$J$28,IF(AND(C27=8,C26="L"),T!$J$29,IF(AND(C27=10,C26="L"),T!$J$30,IF(AND(C27=12,C26="L"),T!$J$31,0))))))</f>
        <v>0</v>
      </c>
      <c r="M26" s="135">
        <f>IF(AND(C27=2,C26="M"),T!$K$26,IF(AND(C27=4,C26="M"),T!$K$27,IF(AND(C27=6,C26="M"),T!$K$28,IF(AND(C27=8,C26="M"),T!$K$29,IF(AND(C27=10,C26="M"),T!$K$30,IF(AND(C27=12,C26="M"),T!$K$31,0))))))</f>
        <v>36.76</v>
      </c>
      <c r="O26" s="153">
        <f t="shared" si="9"/>
        <v>36.76</v>
      </c>
      <c r="P26" s="7">
        <f t="shared" si="10"/>
        <v>2281.8280739934712</v>
      </c>
      <c r="Q26" s="7">
        <f t="shared" si="11"/>
        <v>602008.99619151268</v>
      </c>
      <c r="R26" s="153">
        <f t="shared" si="12"/>
        <v>84281.259466811709</v>
      </c>
      <c r="S26" s="20">
        <f>S13</f>
        <v>831.62905000000001</v>
      </c>
      <c r="T26" s="22">
        <f t="shared" ca="1" si="13"/>
        <v>8043.8963526882753</v>
      </c>
    </row>
    <row r="27" spans="2:20" x14ac:dyDescent="0.25">
      <c r="B27" s="107" t="str">
        <f t="shared" si="18"/>
        <v>IIR</v>
      </c>
      <c r="C27" s="77">
        <f>MCI!D25</f>
        <v>6</v>
      </c>
      <c r="E27" s="153" t="str">
        <f t="shared" si="14"/>
        <v xml:space="preserve"> T3S3</v>
      </c>
      <c r="F27" s="27">
        <f t="shared" si="8"/>
        <v>1.55E-2</v>
      </c>
      <c r="G27" s="121">
        <f t="shared" si="8"/>
        <v>1.1399999999999999</v>
      </c>
      <c r="H27" s="121">
        <f t="shared" si="15"/>
        <v>0.1399999999999999</v>
      </c>
      <c r="I27" s="153">
        <f t="shared" si="16"/>
        <v>84.606750000000005</v>
      </c>
      <c r="J27" s="21">
        <f t="shared" si="17"/>
        <v>1971.3372750000001</v>
      </c>
      <c r="K27" s="135">
        <f>IF(AND(C27=2,C26="P"),T!$I$16,IF(AND(C27=4,C26="P"),T!$I$17,IF(AND(C27=6,C26="P"),T!$I$18,IF(AND(C27=8,C26="P"),T!$I$19,IF(AND(C27=10,C26="P"),T!$I$20,IF(AND(C27=12,C26="P"),T!$I$21,0))))))</f>
        <v>0</v>
      </c>
      <c r="L27" s="135">
        <f>IF(AND(C27=2,C26="L"),T!$J$16,IF(AND(C27=4,C26="L"),T!$J$17,IF(AND(C27=6,C26="L"),T!$J$18,IF(AND(C27=8,C26="L"),T!$J$19,IF(AND(C27=10,C26="L"),T!$J$20,IF(AND(C27=12,C26="L"),T!$J$21,0))))))</f>
        <v>0</v>
      </c>
      <c r="M27" s="135">
        <f>IF(AND(C27=2,C26="M"),T!$K$16,IF(AND(C27=4,C26="M"),T!$K$17,IF(AND(C27=6,C26="M"),T!$K$18,IF(AND(C27=8,C26="M"),T!$K$19,IF(AND(C27=10,C26="M"),T!$K$20,IF(AND(C27=12,C26="M"),T!$K$21,0))))))</f>
        <v>31.68</v>
      </c>
      <c r="O27" s="153">
        <f t="shared" si="9"/>
        <v>31.68</v>
      </c>
      <c r="P27" s="7">
        <f t="shared" si="10"/>
        <v>2647.7272727272725</v>
      </c>
      <c r="Q27" s="7">
        <f t="shared" si="11"/>
        <v>224015.59943181818</v>
      </c>
      <c r="R27" s="153">
        <f t="shared" si="12"/>
        <v>31362.183920454521</v>
      </c>
      <c r="S27" s="20">
        <f t="shared" si="19"/>
        <v>1396.2482500000001</v>
      </c>
      <c r="T27" s="22">
        <f t="shared" ca="1" si="13"/>
        <v>4330.9623365455773</v>
      </c>
    </row>
    <row r="28" spans="2:20" x14ac:dyDescent="0.25">
      <c r="B28" s="107" t="str">
        <f t="shared" si="18"/>
        <v>Descripción</v>
      </c>
      <c r="C28" s="104" t="str">
        <f>MCI!D22</f>
        <v>Atlacomulco - Acambay (57)</v>
      </c>
      <c r="E28" s="153" t="str">
        <f t="shared" si="14"/>
        <v xml:space="preserve"> T3S2R4</v>
      </c>
      <c r="F28" s="27">
        <f t="shared" si="8"/>
        <v>1.0166666666666666E-2</v>
      </c>
      <c r="G28" s="121">
        <f t="shared" si="8"/>
        <v>1.0900000000000001</v>
      </c>
      <c r="H28" s="121">
        <f t="shared" si="15"/>
        <v>9.000000000000008E-2</v>
      </c>
      <c r="I28" s="153">
        <f t="shared" si="16"/>
        <v>55.494749999999996</v>
      </c>
      <c r="J28" s="21">
        <f t="shared" si="17"/>
        <v>1293.0276749999998</v>
      </c>
      <c r="K28" s="135">
        <f>IF(AND(C27=2,C26="P"),T!$I$6,IF(AND(C27=4,C26="P"),T!$I$7,IF(AND(C27=6,C26="P"),T!$I$8,IF(AND(C27=8,C26="P"),T!$I$9,IF(AND(C27=10,C26="P"),T!$I$10,IF(AND(C27=12,C26="P"),T!$I$11,0))))))</f>
        <v>0</v>
      </c>
      <c r="L28" s="135">
        <f>IF(AND(C27=2,C26="L"),T!$J$6,IF(AND(C27=4,C26="L"),T!$J$7,IF(AND(C27=6,C26="L"),T!$J$8,IF(AND(C27=8,C26="L"),T!$J$9,IF(AND(C27=10,C26="L"),T!$J$10,IF(AND(C27=12,C26="L"),T!$J$11,0))))))</f>
        <v>0</v>
      </c>
      <c r="M28" s="135">
        <f>IF(AND(C27=2,C26="M"),T!$K$6,IF(AND(C27=4,C26="M"),T!$K$7,IF(AND(C27=6,C26="M"),T!$K$8,IF(AND(C27=8,C26="M"),T!$K$9,IF(AND(C27=10,C26="M"),T!$K$10,IF(AND(C27=12,C26="M"),T!$K$11,0))))))</f>
        <v>24.85</v>
      </c>
      <c r="O28" s="153">
        <f t="shared" si="9"/>
        <v>24.85</v>
      </c>
      <c r="P28" s="7">
        <f t="shared" si="10"/>
        <v>3375.4527162977865</v>
      </c>
      <c r="Q28" s="7">
        <f t="shared" si="11"/>
        <v>187319.90462776658</v>
      </c>
      <c r="R28" s="153">
        <f t="shared" si="12"/>
        <v>16858.791416499007</v>
      </c>
      <c r="S28" s="20">
        <f t="shared" si="19"/>
        <v>1535.873075</v>
      </c>
      <c r="T28" s="22">
        <f t="shared" ca="1" si="13"/>
        <v>3124.8126105613783</v>
      </c>
    </row>
    <row r="29" spans="2:20" x14ac:dyDescent="0.25">
      <c r="B29" s="107" t="str">
        <f t="shared" si="18"/>
        <v>TDPARP (vpd)</v>
      </c>
      <c r="C29" s="121">
        <f>C16</f>
        <v>5458.5</v>
      </c>
      <c r="E29" s="153" t="str">
        <f t="shared" si="14"/>
        <v xml:space="preserve"> OTROS</v>
      </c>
      <c r="F29" s="27">
        <f t="shared" si="8"/>
        <v>3.0000000000000768E-3</v>
      </c>
      <c r="G29" s="121">
        <f t="shared" si="8"/>
        <v>1.0900000000000001</v>
      </c>
      <c r="H29" s="121">
        <f t="shared" si="15"/>
        <v>9.000000000000008E-2</v>
      </c>
      <c r="I29" s="153">
        <f>F29*$C$29</f>
        <v>16.375500000000418</v>
      </c>
      <c r="J29" s="21">
        <f t="shared" si="17"/>
        <v>381.54915000000972</v>
      </c>
      <c r="K29" s="153"/>
      <c r="L29" s="153"/>
      <c r="M29" s="153"/>
      <c r="O29" s="140">
        <f>AVERAGE(O22:O28)</f>
        <v>38.154285714285713</v>
      </c>
      <c r="P29" s="7">
        <f t="shared" si="10"/>
        <v>2198.4424142579005</v>
      </c>
      <c r="Q29" s="7">
        <f t="shared" si="11"/>
        <v>36000.593754681169</v>
      </c>
      <c r="R29" s="153">
        <f t="shared" si="12"/>
        <v>3240.0534379213082</v>
      </c>
      <c r="S29" s="20">
        <f>S16</f>
        <v>802.86334999999997</v>
      </c>
      <c r="T29" s="22">
        <f t="shared" ca="1" si="13"/>
        <v>482.00656667487522</v>
      </c>
    </row>
    <row r="30" spans="2:20" x14ac:dyDescent="0.25">
      <c r="E30" s="19"/>
      <c r="F30" s="43"/>
      <c r="G30" s="43"/>
      <c r="H30" s="43"/>
      <c r="I30" s="19"/>
      <c r="J30" s="44"/>
      <c r="Q30" s="82" t="s">
        <v>17</v>
      </c>
      <c r="R30" s="153">
        <f>SUM(R22:R29)</f>
        <v>13617120.536008334</v>
      </c>
      <c r="S30" s="82" t="s">
        <v>17</v>
      </c>
      <c r="T30" s="23">
        <f ca="1">SUM(T22:T29)</f>
        <v>59973.980806263826</v>
      </c>
    </row>
    <row r="32" spans="2:20" x14ac:dyDescent="0.25">
      <c r="E32" s="153" t="s">
        <v>19</v>
      </c>
      <c r="F32" s="82" t="s">
        <v>24</v>
      </c>
      <c r="G32" s="82" t="s">
        <v>41</v>
      </c>
      <c r="H32" s="82" t="s">
        <v>290</v>
      </c>
      <c r="I32" s="82" t="s">
        <v>20</v>
      </c>
      <c r="J32" s="154" t="s">
        <v>36</v>
      </c>
      <c r="K32" s="153"/>
      <c r="L32" s="153"/>
      <c r="M32" s="153"/>
      <c r="O32" s="154" t="s">
        <v>21</v>
      </c>
      <c r="P32" s="82" t="s">
        <v>292</v>
      </c>
      <c r="Q32" s="82" t="s">
        <v>77</v>
      </c>
      <c r="R32" s="82" t="s">
        <v>42</v>
      </c>
      <c r="S32" s="82" t="s">
        <v>50</v>
      </c>
      <c r="T32" s="82" t="s">
        <v>31</v>
      </c>
    </row>
    <row r="33" spans="2:20" x14ac:dyDescent="0.25">
      <c r="E33" s="352" t="s">
        <v>1</v>
      </c>
      <c r="F33" s="153" t="s">
        <v>6</v>
      </c>
      <c r="G33" s="142" t="str">
        <f>G20</f>
        <v>(persona/veh)</v>
      </c>
      <c r="H33" s="142" t="str">
        <f>G33</f>
        <v>(persona/veh)</v>
      </c>
      <c r="I33" s="153" t="s">
        <v>7</v>
      </c>
      <c r="J33" s="153" t="s">
        <v>142</v>
      </c>
      <c r="K33" s="153"/>
      <c r="L33" s="153"/>
      <c r="M33" s="153"/>
      <c r="O33" s="153" t="s">
        <v>8</v>
      </c>
      <c r="P33" s="153" t="s">
        <v>11</v>
      </c>
      <c r="Q33" s="153" t="s">
        <v>287</v>
      </c>
      <c r="R33" s="153" t="s">
        <v>9</v>
      </c>
      <c r="S33" s="153" t="s">
        <v>45</v>
      </c>
      <c r="T33" s="153" t="s">
        <v>46</v>
      </c>
    </row>
    <row r="34" spans="2:20" ht="75" x14ac:dyDescent="0.25">
      <c r="E34" s="352"/>
      <c r="F34" s="152" t="s">
        <v>5</v>
      </c>
      <c r="G34" s="152" t="s">
        <v>112</v>
      </c>
      <c r="H34" s="152" t="s">
        <v>289</v>
      </c>
      <c r="I34" s="152" t="s">
        <v>3</v>
      </c>
      <c r="J34" s="152" t="s">
        <v>143</v>
      </c>
      <c r="K34" s="153"/>
      <c r="L34" s="153"/>
      <c r="M34" s="153"/>
      <c r="O34" s="152" t="s">
        <v>4</v>
      </c>
      <c r="P34" s="152" t="s">
        <v>10</v>
      </c>
      <c r="Q34" s="152" t="s">
        <v>288</v>
      </c>
      <c r="R34" s="152" t="s">
        <v>12</v>
      </c>
      <c r="S34" s="152" t="s">
        <v>44</v>
      </c>
      <c r="T34" s="152" t="s">
        <v>51</v>
      </c>
    </row>
    <row r="35" spans="2:20" x14ac:dyDescent="0.25">
      <c r="E35" s="153" t="str">
        <f>E22</f>
        <v>A</v>
      </c>
      <c r="F35" s="27">
        <f t="shared" ref="F35:G42" si="20">F22</f>
        <v>0.79800000000000004</v>
      </c>
      <c r="G35" s="121">
        <f>G22</f>
        <v>2.2799999999999998</v>
      </c>
      <c r="H35" s="121">
        <f>G35-1</f>
        <v>1.2799999999999998</v>
      </c>
      <c r="I35" s="153">
        <f>F35*$C$42</f>
        <v>4355.8829999999998</v>
      </c>
      <c r="J35" s="21">
        <f>I35*$C$38/1000</f>
        <v>101492.07389999999</v>
      </c>
      <c r="K35" s="135">
        <f>IF(AND(C40=2,C39="P"),T!$I$66,IF(AND(C40=4,C39="P"),T!$I$67,IF(AND(C40=6,C39="P"),T!$I$68,IF(AND(C40=8,C39="P"),T!$I$69,IF(AND(C40=10,C39="P"),T!$I$70,IF(AND(C40=12,C39="P"),T!$I$71,0))))))</f>
        <v>0</v>
      </c>
      <c r="L35" s="135">
        <f>IF(AND(C40=2,C39="L"),T!$J$66,IF(AND(C40=4,C39="L"),T!$J$67,IF(AND(C40=6,C39="L"),T!$J$68,IF(AND(C40=8,C39="L"),T!$J$69,IF(AND(C40=10,C39="L"),T!$J$70,IF(AND(C40=12,C39="L"),T!$J$71,0))))))</f>
        <v>0</v>
      </c>
      <c r="M35" s="135">
        <f>IF(AND(C40=2,C39="M"),T!$K$66,IF(AND(C40=4,C39="M"),T!$K$67,IF(AND(C40=6,C39="M"),T!$K$68,IF(AND(C40=8,C39="M"),T!$K$69,IF(AND(C40=10,C39="M"),T!$K$70,IF(AND(C40=12,C39="M"),T!$K$71,0))))))</f>
        <v>51.46</v>
      </c>
      <c r="O35" s="153">
        <f t="shared" ref="O35:O41" si="21">SUM(K35:M35)</f>
        <v>51.46</v>
      </c>
      <c r="P35" s="7">
        <f t="shared" ref="P35:P42" si="22">C$38*3600/(O35*1000)</f>
        <v>1630.0038865137972</v>
      </c>
      <c r="Q35" s="7">
        <f t="shared" ref="Q35:Q42" si="23">P35*I35</f>
        <v>7100106.219199378</v>
      </c>
      <c r="R35" s="153">
        <f t="shared" ref="R35:R42" si="24">Q35*H35</f>
        <v>9088135.9605752025</v>
      </c>
      <c r="S35" s="20">
        <f>S22</f>
        <v>206.89667499999999</v>
      </c>
      <c r="T35" s="22">
        <f t="shared" ref="T35:T42" ca="1" si="25">S35*J35*$F$3/1000000</f>
        <v>33040.48925495211</v>
      </c>
    </row>
    <row r="36" spans="2:20" x14ac:dyDescent="0.25">
      <c r="E36" s="153" t="str">
        <f t="shared" ref="E36:E42" si="26">E23</f>
        <v xml:space="preserve"> B</v>
      </c>
      <c r="F36" s="27">
        <f t="shared" si="20"/>
        <v>3.4000000000000002E-2</v>
      </c>
      <c r="G36" s="121">
        <f t="shared" si="20"/>
        <v>12.81</v>
      </c>
      <c r="H36" s="121">
        <f t="shared" ref="H36:H42" si="27">G36-1</f>
        <v>11.81</v>
      </c>
      <c r="I36" s="153">
        <f t="shared" ref="I36:I42" si="28">F36*$C$42</f>
        <v>185.58900000000003</v>
      </c>
      <c r="J36" s="21">
        <f t="shared" ref="J36:J42" si="29">I36*$C$38/1000</f>
        <v>4324.2237000000005</v>
      </c>
      <c r="K36" s="135">
        <f>IF(AND(C40=2,C39="P"),T!$I$56,IF(AND(C40=4,C39="P"),T!$I$57,IF(AND(C40=6,C39="P"),T!$I$58,IF(AND(C40=8,C39="P"),T!$I$59,IF(AND(C40=10,C39="P"),T!$I$60,IF(AND(C40=12,C39="P"),T!$I$61,0))))))</f>
        <v>0</v>
      </c>
      <c r="L36" s="135">
        <f>IF(AND(C40=2,C39="L"),T!$J$56,IF(AND(C40=4,C39="L"),T!$J$57,IF(AND(C40=6,C39="L"),T!$J$58,IF(AND(C40=8,C39="L"),T!$J$59,IF(AND(C40=10,C39="L"),T!$J$60,IF(AND(C40=12,C39="L"),T!$J$61,0))))))</f>
        <v>0</v>
      </c>
      <c r="M36" s="135">
        <f>IF(AND(C40=2,C39="M"),T!$K$56,IF(AND(C40=4,C39="M"),T!$K$57,IF(AND(C40=6,C39="M"),T!$K$58,IF(AND(C40=8,C39="M"),T!$K$59,IF(AND(C40=10,C39="M"),T!$K$60,IF(AND(C40=12,C39="M"),T!$K$61,0))))))</f>
        <v>47.52</v>
      </c>
      <c r="O36" s="153">
        <f t="shared" si="21"/>
        <v>47.52</v>
      </c>
      <c r="P36" s="7">
        <f t="shared" si="22"/>
        <v>1765.1515151515152</v>
      </c>
      <c r="Q36" s="7">
        <f t="shared" si="23"/>
        <v>327592.70454545459</v>
      </c>
      <c r="R36" s="153">
        <f t="shared" si="24"/>
        <v>3868869.8406818188</v>
      </c>
      <c r="S36" s="20">
        <f t="shared" ref="S36:S42" si="30">S23</f>
        <v>426.38069999999999</v>
      </c>
      <c r="T36" s="22">
        <f t="shared" ca="1" si="25"/>
        <v>2901.1255395314956</v>
      </c>
    </row>
    <row r="37" spans="2:20" x14ac:dyDescent="0.25">
      <c r="B37" s="107" t="str">
        <f t="shared" ref="B37:B42" si="31">B24</f>
        <v>Tramo</v>
      </c>
      <c r="C37" s="153">
        <f>MCI!E21</f>
        <v>3</v>
      </c>
      <c r="E37" s="153" t="str">
        <f t="shared" si="26"/>
        <v>C2</v>
      </c>
      <c r="F37" s="27">
        <f t="shared" si="20"/>
        <v>7.0166666666666669E-2</v>
      </c>
      <c r="G37" s="121">
        <f t="shared" si="20"/>
        <v>1.37</v>
      </c>
      <c r="H37" s="121">
        <f t="shared" si="27"/>
        <v>0.37000000000000011</v>
      </c>
      <c r="I37" s="153">
        <f t="shared" si="28"/>
        <v>383.00475</v>
      </c>
      <c r="J37" s="21">
        <f t="shared" si="29"/>
        <v>8924.0106750000014</v>
      </c>
      <c r="K37" s="135">
        <f>IF(AND(C40=2,C39="P"),T!$I$46,IF(AND(C40=4,C39="P"),T!$I$47,IF(AND(C40=6,C39="P"),T!$I$48,IF(AND(C40=8,C39="P"),T!$I$49,IF(AND(C40=10,C39="P"),T!$I$50,IF(AND(C40=12,C39="P"),T!$I$51,0))))))</f>
        <v>0</v>
      </c>
      <c r="L37" s="135">
        <f>IF(AND(C40=2,C39="L"),T!$J$46,IF(AND(C40=4,C39="L"),T!$J$47,IF(AND(C40=6,C39="L"),T!$J$48,IF(AND(C40=8,C39="L"),T!$J$49,IF(AND(C40=10,C39="L"),T!$J$50,IF(AND(C40=12,C39="L"),T!$J$51,0))))))</f>
        <v>0</v>
      </c>
      <c r="M37" s="135">
        <f>IF(AND(C40=2,C39="M"),T!$K$46,IF(AND(C40=4,C39="M"),T!$K$47,IF(AND(C40=6,C39="M"),T!$K$48,IF(AND(C40=8,C39="M"),T!$K$49,IF(AND(C40=10,C39="M"),T!$K$50,IF(AND(C40=12,C39="M"),T!$K$51,0))))))</f>
        <v>42.09</v>
      </c>
      <c r="O37" s="153">
        <f t="shared" si="21"/>
        <v>42.09</v>
      </c>
      <c r="P37" s="7">
        <f t="shared" si="22"/>
        <v>1992.8724162508909</v>
      </c>
      <c r="Q37" s="7">
        <f t="shared" si="23"/>
        <v>763279.60156806838</v>
      </c>
      <c r="R37" s="153">
        <f t="shared" si="24"/>
        <v>282413.45258018537</v>
      </c>
      <c r="S37" s="20">
        <f t="shared" si="30"/>
        <v>298.98342500000001</v>
      </c>
      <c r="T37" s="22">
        <f t="shared" ca="1" si="25"/>
        <v>4198.2473749522969</v>
      </c>
    </row>
    <row r="38" spans="2:20" x14ac:dyDescent="0.25">
      <c r="B38" s="107" t="str">
        <f t="shared" si="31"/>
        <v>Longitud (m)</v>
      </c>
      <c r="C38" s="76">
        <f>MCI!E23</f>
        <v>23300</v>
      </c>
      <c r="E38" s="153" t="str">
        <f t="shared" si="26"/>
        <v>C3</v>
      </c>
      <c r="F38" s="27">
        <f t="shared" si="20"/>
        <v>2.0833333333333332E-2</v>
      </c>
      <c r="G38" s="121">
        <f t="shared" si="20"/>
        <v>1.23</v>
      </c>
      <c r="H38" s="121">
        <f t="shared" si="27"/>
        <v>0.22999999999999998</v>
      </c>
      <c r="I38" s="153">
        <f t="shared" si="28"/>
        <v>113.71875</v>
      </c>
      <c r="J38" s="21">
        <f t="shared" si="29"/>
        <v>2649.6468749999999</v>
      </c>
      <c r="K38" s="135">
        <f>IF(AND(C40=2,C39="P"),T!$I$36,IF(AND(C40=4,C39="P"),T!$I$37,IF(AND(C40=6,C39="P"),T!$I$38,IF(AND(C40=8,C39="P"),T!$I$39,IF(AND(C40=10,C39="P"),T!$I$40,IF(AND(C40=12,C39="P"),T!$I$41,0))))))</f>
        <v>0</v>
      </c>
      <c r="L38" s="135">
        <f>IF(AND(C40=2,C39="L"),T!$J$36,IF(AND(C40=4,C39="L"),T!$J$37,IF(AND(C40=6,C39="L"),T!$J$38,IF(AND(C40=8,C39="L"),T!$J$39,IF(AND(C40=10,C39="L"),T!$J$40,IF(AND(C40=12,C39="L"),T!$J$41,0))))))</f>
        <v>0</v>
      </c>
      <c r="M38" s="135">
        <f>IF(AND(C40=2,C39="M"),T!$K$36,IF(AND(C40=4,C39="M"),T!$K$37,IF(AND(C40=6,C39="M"),T!$K$38,IF(AND(C40=8,C39="M"),T!$K$39,IF(AND(C40=10,C39="M"),T!$K$40,IF(AND(C40=12,C39="M"),T!$K$41,0))))))</f>
        <v>35.380000000000003</v>
      </c>
      <c r="O38" s="153">
        <f t="shared" si="21"/>
        <v>35.380000000000003</v>
      </c>
      <c r="P38" s="7">
        <f t="shared" si="22"/>
        <v>2370.8309779536462</v>
      </c>
      <c r="Q38" s="7">
        <f t="shared" si="23"/>
        <v>269607.93527416623</v>
      </c>
      <c r="R38" s="153">
        <f t="shared" si="24"/>
        <v>62009.825113058228</v>
      </c>
      <c r="S38" s="20">
        <f t="shared" si="30"/>
        <v>924.03227500000003</v>
      </c>
      <c r="T38" s="22">
        <f t="shared" ca="1" si="25"/>
        <v>3852.4407703578208</v>
      </c>
    </row>
    <row r="39" spans="2:20" x14ac:dyDescent="0.25">
      <c r="B39" s="107" t="str">
        <f t="shared" si="31"/>
        <v>Tipo de terreno</v>
      </c>
      <c r="C39" s="121" t="str">
        <f>IF(MCI!E24=LISTA!A2,"P",IF(MCI!E24=LISTA!A3,"L",IF(MCI!E24=LISTA!A4,"M",0)))</f>
        <v>M</v>
      </c>
      <c r="E39" s="153" t="str">
        <f t="shared" si="26"/>
        <v>T3S2</v>
      </c>
      <c r="F39" s="27">
        <f t="shared" si="20"/>
        <v>4.8333333333333339E-2</v>
      </c>
      <c r="G39" s="121">
        <f t="shared" si="20"/>
        <v>1.1399999999999999</v>
      </c>
      <c r="H39" s="121">
        <f t="shared" si="27"/>
        <v>0.1399999999999999</v>
      </c>
      <c r="I39" s="153">
        <f t="shared" si="28"/>
        <v>263.82750000000004</v>
      </c>
      <c r="J39" s="21">
        <f t="shared" si="29"/>
        <v>6147.1807500000014</v>
      </c>
      <c r="K39" s="135">
        <f>IF(AND(C40=2,C39="P"),T!$I$26,IF(AND(C40=4,C39="P"),T!$I$27,IF(AND(C40=6,C39="P"),T!$I$28,IF(AND(C40=8,C39="P"),T!$I$29,IF(AND(C40=10,C39="P"),T!$I$30,IF(AND(C40=12,C39="P"),T!$I$31,0))))))</f>
        <v>0</v>
      </c>
      <c r="L39" s="135">
        <f>IF(AND(C40=2,C39="L"),T!$J$26,IF(AND(C40=4,C39="L"),T!$J$27,IF(AND(C40=6,C39="L"),T!$J$28,IF(AND(C40=8,C39="L"),T!$J$29,IF(AND(C40=10,C39="L"),T!$J$30,IF(AND(C40=12,C39="L"),T!$J$31,0))))))</f>
        <v>0</v>
      </c>
      <c r="M39" s="135">
        <f>IF(AND(C40=2,C39="M"),T!$K$26,IF(AND(C40=4,C39="M"),T!$K$27,IF(AND(C40=6,C39="M"),T!$K$28,IF(AND(C40=8,C39="M"),T!$K$29,IF(AND(C40=10,C39="M"),T!$K$30,IF(AND(C40=12,C39="M"),T!$K$31,0))))))</f>
        <v>37.57</v>
      </c>
      <c r="O39" s="153">
        <f t="shared" si="21"/>
        <v>37.57</v>
      </c>
      <c r="P39" s="7">
        <f t="shared" si="22"/>
        <v>2232.6324194836307</v>
      </c>
      <c r="Q39" s="7">
        <f t="shared" si="23"/>
        <v>589029.82965131768</v>
      </c>
      <c r="R39" s="153">
        <f t="shared" si="24"/>
        <v>82464.176151184423</v>
      </c>
      <c r="S39" s="20">
        <f t="shared" si="30"/>
        <v>831.62905000000001</v>
      </c>
      <c r="T39" s="22">
        <f t="shared" ca="1" si="25"/>
        <v>8043.8963526882753</v>
      </c>
    </row>
    <row r="40" spans="2:20" x14ac:dyDescent="0.25">
      <c r="B40" s="107" t="str">
        <f t="shared" si="31"/>
        <v>IIR</v>
      </c>
      <c r="C40" s="77">
        <f>MCI!E25</f>
        <v>4</v>
      </c>
      <c r="E40" s="153" t="str">
        <f t="shared" si="26"/>
        <v xml:space="preserve"> T3S3</v>
      </c>
      <c r="F40" s="27">
        <f t="shared" si="20"/>
        <v>1.55E-2</v>
      </c>
      <c r="G40" s="121">
        <f t="shared" si="20"/>
        <v>1.1399999999999999</v>
      </c>
      <c r="H40" s="121">
        <f t="shared" si="27"/>
        <v>0.1399999999999999</v>
      </c>
      <c r="I40" s="153">
        <f t="shared" si="28"/>
        <v>84.606750000000005</v>
      </c>
      <c r="J40" s="21">
        <f t="shared" si="29"/>
        <v>1971.3372750000001</v>
      </c>
      <c r="K40" s="135">
        <f>IF(AND(C40=2,C39="P"),T!$I$16,IF(AND(C40=4,C39="P"),T!$I$17,IF(AND(C40=6,C39="P"),T!$I$18,IF(AND(C40=8,C39="P"),T!$I$19,IF(AND(C40=10,C39="P"),T!$I$20,IF(AND(C40=12,C39="P"),T!$I$21,0))))))</f>
        <v>0</v>
      </c>
      <c r="L40" s="135">
        <f>IF(AND(C40=2,C39="L"),T!$J$16,IF(AND(C40=4,C39="L"),T!$J$17,IF(AND(C40=6,C39="L"),T!$J$18,IF(AND(C40=8,C39="L"),T!$J$19,IF(AND(C40=10,C39="L"),T!$J$20,IF(AND(C40=12,C39="L"),T!$J$21,0))))))</f>
        <v>0</v>
      </c>
      <c r="M40" s="135">
        <f>IF(AND(C40=2,C39="M"),T!$K$16,IF(AND(C40=4,C39="M"),T!$K$17,IF(AND(C40=6,C39="M"),T!$K$18,IF(AND(C40=8,C39="M"),T!$K$19,IF(AND(C40=10,C39="M"),T!$K$20,IF(AND(C40=12,C39="M"),T!$K$21,0))))))</f>
        <v>32.21</v>
      </c>
      <c r="O40" s="153">
        <f t="shared" si="21"/>
        <v>32.21</v>
      </c>
      <c r="P40" s="7">
        <f t="shared" si="22"/>
        <v>2604.1601986960573</v>
      </c>
      <c r="Q40" s="7">
        <f t="shared" si="23"/>
        <v>220329.53089102765</v>
      </c>
      <c r="R40" s="153">
        <f t="shared" si="24"/>
        <v>30846.134324743849</v>
      </c>
      <c r="S40" s="20">
        <f t="shared" si="30"/>
        <v>1396.2482500000001</v>
      </c>
      <c r="T40" s="22">
        <f t="shared" ca="1" si="25"/>
        <v>4330.9623365455773</v>
      </c>
    </row>
    <row r="41" spans="2:20" x14ac:dyDescent="0.25">
      <c r="B41" s="107" t="str">
        <f t="shared" si="31"/>
        <v>Descripción</v>
      </c>
      <c r="C41" s="104" t="str">
        <f>MCI!E22</f>
        <v>Atlacomulco - Acambay (40D)</v>
      </c>
      <c r="E41" s="153" t="str">
        <f t="shared" si="26"/>
        <v xml:space="preserve"> T3S2R4</v>
      </c>
      <c r="F41" s="27">
        <f t="shared" si="20"/>
        <v>1.0166666666666666E-2</v>
      </c>
      <c r="G41" s="121">
        <f t="shared" si="20"/>
        <v>1.0900000000000001</v>
      </c>
      <c r="H41" s="121">
        <f t="shared" si="27"/>
        <v>9.000000000000008E-2</v>
      </c>
      <c r="I41" s="153">
        <f t="shared" si="28"/>
        <v>55.494749999999996</v>
      </c>
      <c r="J41" s="21">
        <f t="shared" si="29"/>
        <v>1293.0276749999998</v>
      </c>
      <c r="K41" s="135">
        <f>IF(AND(C40=2,C39="P"),T!$I$6,IF(AND(C40=4,C39="P"),T!$I$7,IF(AND(C40=6,C39="P"),T!$I$8,IF(AND(C40=8,C39="P"),T!$I$9,IF(AND(C40=10,C39="P"),T!$I$10,IF(AND(C40=12,C39="P"),T!$I$11,0))))))</f>
        <v>0</v>
      </c>
      <c r="L41" s="135">
        <f>IF(AND(C40=2,C39="L"),T!$J$6,IF(AND(C40=4,C39="L"),T!$J$7,IF(AND(C40=6,C39="L"),T!$J$8,IF(AND(C40=8,C39="L"),T!$J$9,IF(AND(C40=10,C39="L"),T!$J$10,IF(AND(C40=12,C39="L"),T!$J$11,0))))))</f>
        <v>0</v>
      </c>
      <c r="M41" s="135">
        <f>IF(AND(C40=2,C39="M"),T!$K$6,IF(AND(C40=4,C39="M"),T!$K$7,IF(AND(C40=6,C39="M"),T!$K$8,IF(AND(C40=8,C39="M"),T!$K$9,IF(AND(C40=10,C39="M"),T!$K$10,IF(AND(C40=12,C39="M"),T!$K$11,0))))))</f>
        <v>25.16</v>
      </c>
      <c r="O41" s="153">
        <f t="shared" si="21"/>
        <v>25.16</v>
      </c>
      <c r="P41" s="7">
        <f t="shared" si="22"/>
        <v>3333.8632750397455</v>
      </c>
      <c r="Q41" s="7">
        <f t="shared" si="23"/>
        <v>185011.9089825119</v>
      </c>
      <c r="R41" s="153">
        <f t="shared" si="24"/>
        <v>16651.071808426084</v>
      </c>
      <c r="S41" s="20">
        <f t="shared" si="30"/>
        <v>1535.873075</v>
      </c>
      <c r="T41" s="22">
        <f t="shared" ca="1" si="25"/>
        <v>3124.8126105613783</v>
      </c>
    </row>
    <row r="42" spans="2:20" x14ac:dyDescent="0.25">
      <c r="B42" s="107" t="str">
        <f t="shared" si="31"/>
        <v>TDPARP (vpd)</v>
      </c>
      <c r="C42" s="121">
        <f>C29</f>
        <v>5458.5</v>
      </c>
      <c r="E42" s="153" t="str">
        <f t="shared" si="26"/>
        <v xml:space="preserve"> OTROS</v>
      </c>
      <c r="F42" s="27">
        <f t="shared" si="20"/>
        <v>3.0000000000000768E-3</v>
      </c>
      <c r="G42" s="121">
        <f t="shared" si="20"/>
        <v>1.0900000000000001</v>
      </c>
      <c r="H42" s="121">
        <f t="shared" si="27"/>
        <v>9.000000000000008E-2</v>
      </c>
      <c r="I42" s="153">
        <f t="shared" si="28"/>
        <v>16.375500000000418</v>
      </c>
      <c r="J42" s="21">
        <f t="shared" si="29"/>
        <v>381.54915000000972</v>
      </c>
      <c r="K42" s="153"/>
      <c r="L42" s="153"/>
      <c r="M42" s="153"/>
      <c r="O42" s="140">
        <f>AVERAGE(O35:O41)</f>
        <v>38.769999999999996</v>
      </c>
      <c r="P42" s="7">
        <f t="shared" si="22"/>
        <v>2163.5285014186229</v>
      </c>
      <c r="Q42" s="7">
        <f t="shared" si="23"/>
        <v>35428.860974981566</v>
      </c>
      <c r="R42" s="153">
        <f t="shared" si="24"/>
        <v>3188.5974877483436</v>
      </c>
      <c r="S42" s="20">
        <f t="shared" si="30"/>
        <v>802.86334999999997</v>
      </c>
      <c r="T42" s="22">
        <f t="shared" ca="1" si="25"/>
        <v>482.00656667487522</v>
      </c>
    </row>
    <row r="43" spans="2:20" x14ac:dyDescent="0.25">
      <c r="E43" s="19"/>
      <c r="F43" s="43"/>
      <c r="G43" s="43"/>
      <c r="H43" s="43"/>
      <c r="I43" s="19"/>
      <c r="J43" s="44"/>
      <c r="Q43" s="82" t="s">
        <v>17</v>
      </c>
      <c r="R43" s="153">
        <f>SUM(R35:R42)</f>
        <v>13434579.058722368</v>
      </c>
      <c r="S43" s="82" t="s">
        <v>17</v>
      </c>
      <c r="T43" s="23">
        <f ca="1">SUM(T35:T42)</f>
        <v>59973.980806263826</v>
      </c>
    </row>
    <row r="45" spans="2:20" x14ac:dyDescent="0.25">
      <c r="E45" s="153" t="s">
        <v>19</v>
      </c>
      <c r="F45" s="82" t="s">
        <v>24</v>
      </c>
      <c r="G45" s="82" t="s">
        <v>41</v>
      </c>
      <c r="H45" s="82" t="s">
        <v>290</v>
      </c>
      <c r="I45" s="82" t="s">
        <v>20</v>
      </c>
      <c r="J45" s="154" t="s">
        <v>36</v>
      </c>
      <c r="K45" s="153"/>
      <c r="L45" s="153"/>
      <c r="M45" s="153"/>
      <c r="O45" s="154" t="s">
        <v>21</v>
      </c>
      <c r="P45" s="82" t="s">
        <v>292</v>
      </c>
      <c r="Q45" s="82" t="s">
        <v>77</v>
      </c>
      <c r="R45" s="82" t="s">
        <v>42</v>
      </c>
      <c r="S45" s="82" t="s">
        <v>50</v>
      </c>
      <c r="T45" s="82" t="s">
        <v>31</v>
      </c>
    </row>
    <row r="46" spans="2:20" x14ac:dyDescent="0.25">
      <c r="E46" s="352" t="s">
        <v>1</v>
      </c>
      <c r="F46" s="153" t="s">
        <v>6</v>
      </c>
      <c r="G46" s="142" t="str">
        <f>G33</f>
        <v>(persona/veh)</v>
      </c>
      <c r="H46" s="142" t="str">
        <f>G46</f>
        <v>(persona/veh)</v>
      </c>
      <c r="I46" s="153" t="s">
        <v>7</v>
      </c>
      <c r="J46" s="153" t="s">
        <v>142</v>
      </c>
      <c r="K46" s="153"/>
      <c r="L46" s="153"/>
      <c r="M46" s="153"/>
      <c r="O46" s="153" t="s">
        <v>8</v>
      </c>
      <c r="P46" s="153" t="s">
        <v>11</v>
      </c>
      <c r="Q46" s="153" t="s">
        <v>287</v>
      </c>
      <c r="R46" s="153" t="s">
        <v>9</v>
      </c>
      <c r="S46" s="153" t="s">
        <v>45</v>
      </c>
      <c r="T46" s="153" t="s">
        <v>46</v>
      </c>
    </row>
    <row r="47" spans="2:20" ht="75" x14ac:dyDescent="0.25">
      <c r="E47" s="352"/>
      <c r="F47" s="152" t="s">
        <v>5</v>
      </c>
      <c r="G47" s="152" t="s">
        <v>112</v>
      </c>
      <c r="H47" s="152" t="s">
        <v>289</v>
      </c>
      <c r="I47" s="152" t="s">
        <v>3</v>
      </c>
      <c r="J47" s="152" t="s">
        <v>143</v>
      </c>
      <c r="K47" s="153"/>
      <c r="L47" s="153"/>
      <c r="M47" s="153"/>
      <c r="O47" s="152" t="s">
        <v>4</v>
      </c>
      <c r="P47" s="152" t="s">
        <v>10</v>
      </c>
      <c r="Q47" s="152" t="s">
        <v>288</v>
      </c>
      <c r="R47" s="152" t="s">
        <v>12</v>
      </c>
      <c r="S47" s="152" t="s">
        <v>44</v>
      </c>
      <c r="T47" s="152" t="s">
        <v>51</v>
      </c>
    </row>
    <row r="48" spans="2:20" x14ac:dyDescent="0.25">
      <c r="E48" s="153" t="str">
        <f>E35</f>
        <v>A</v>
      </c>
      <c r="F48" s="27">
        <f t="shared" ref="F48:G55" si="32">F35</f>
        <v>0.79800000000000004</v>
      </c>
      <c r="G48" s="121">
        <f>G35</f>
        <v>2.2799999999999998</v>
      </c>
      <c r="H48" s="121">
        <f>G48-1</f>
        <v>1.2799999999999998</v>
      </c>
      <c r="I48" s="153">
        <f>F48*$C$55</f>
        <v>4355.8829999999998</v>
      </c>
      <c r="J48" s="21">
        <f>I48*$C$51/1000</f>
        <v>234782.0937</v>
      </c>
      <c r="K48" s="135">
        <f>IF(AND(C53=2,C52="P"),T!$I$66,IF(AND(C53=4,C52="P"),T!$I$67,IF(AND(C53=6,C52="P"),T!$I$68,IF(AND(C53=8,C52="P"),T!$I$69,IF(AND(C53=10,C52="P"),T!$I$70,IF(AND(C53=12,C52="P"),T!$I$71,0))))))</f>
        <v>0</v>
      </c>
      <c r="L48" s="135">
        <f>IF(AND(C53=2,C52="L"),T!$J$66,IF(AND(C53=4,C52="L"),T!$J$67,IF(AND(C53=6,C52="L"),T!$J$68,IF(AND(C53=8,C52="L"),T!$J$69,IF(AND(C53=10,C52="L"),T!$J$70,IF(AND(C53=12,C52="L"),T!$J$71,0))))))</f>
        <v>0</v>
      </c>
      <c r="M48" s="135">
        <f>IF(AND(C53=2,C52="M"),T!$K$66,IF(AND(C53=4,C52="M"),T!$K$67,IF(AND(C53=6,C52="M"),T!$K$68,IF(AND(C53=8,C52="M"),T!$K$69,IF(AND(C53=10,C52="M"),T!$K$70,IF(AND(C53=12,C52="M"),T!$K$71,0))))))</f>
        <v>51.46</v>
      </c>
      <c r="O48" s="153">
        <f t="shared" ref="O48:O54" si="33">SUM(K48:M48)</f>
        <v>51.46</v>
      </c>
      <c r="P48" s="7">
        <f t="shared" ref="P48:P55" si="34">C$51*3600/(O48*1000)</f>
        <v>3770.6956859696852</v>
      </c>
      <c r="Q48" s="7">
        <f t="shared" ref="Q48:Q55" si="35">P48*I48</f>
        <v>16424709.23668869</v>
      </c>
      <c r="R48" s="153">
        <f t="shared" ref="R48:R55" si="36">Q48*H48</f>
        <v>21023627.82296152</v>
      </c>
      <c r="S48" s="20">
        <f>S35</f>
        <v>206.89667499999999</v>
      </c>
      <c r="T48" s="22">
        <f t="shared" ref="T48:T55" ca="1" si="37">S48*J48*$F$3/1000000</f>
        <v>76432.719778623126</v>
      </c>
    </row>
    <row r="49" spans="2:20" x14ac:dyDescent="0.25">
      <c r="E49" s="153" t="str">
        <f t="shared" ref="E49:E55" si="38">E36</f>
        <v xml:space="preserve"> B</v>
      </c>
      <c r="F49" s="27">
        <f t="shared" si="32"/>
        <v>3.4000000000000002E-2</v>
      </c>
      <c r="G49" s="121">
        <f t="shared" si="32"/>
        <v>12.81</v>
      </c>
      <c r="H49" s="121">
        <f t="shared" ref="H49:H55" si="39">G49-1</f>
        <v>11.81</v>
      </c>
      <c r="I49" s="153">
        <f t="shared" ref="I49:I54" si="40">F49*$C$55</f>
        <v>185.58900000000003</v>
      </c>
      <c r="J49" s="21">
        <f t="shared" ref="J49:J55" si="41">I49*$C$51/1000</f>
        <v>10003.247100000002</v>
      </c>
      <c r="K49" s="135">
        <f>IF(AND(C53=2,C52="P"),T!$I$56,IF(AND(C53=4,C52="P"),T!$I$57,IF(AND(C53=6,C52="P"),T!$I$58,IF(AND(C53=8,C52="P"),T!$I$59,IF(AND(C53=10,C52="P"),T!$I$60,IF(AND(C53=12,C52="P"),T!$I$61,0))))))</f>
        <v>0</v>
      </c>
      <c r="L49" s="135">
        <f>IF(AND(C53=2,C52="L"),T!$J$56,IF(AND(C53=4,C52="L"),T!$J$57,IF(AND(C53=6,C52="L"),T!$J$58,IF(AND(C53=8,C52="L"),T!$J$59,IF(AND(C53=10,C52="L"),T!$J$60,IF(AND(C53=12,C52="L"),T!$J$61,0))))))</f>
        <v>0</v>
      </c>
      <c r="M49" s="135">
        <f>IF(AND(C53=2,C52="M"),T!$K$56,IF(AND(C53=4,C52="M"),T!$K$57,IF(AND(C53=6,C52="M"),T!$K$58,IF(AND(C53=8,C52="M"),T!$K$59,IF(AND(C53=10,C52="M"),T!$K$60,IF(AND(C53=12,C52="M"),T!$K$61,0))))))</f>
        <v>47.52</v>
      </c>
      <c r="O49" s="153">
        <f t="shared" si="33"/>
        <v>47.52</v>
      </c>
      <c r="P49" s="7">
        <f t="shared" si="34"/>
        <v>4083.3333333333335</v>
      </c>
      <c r="Q49" s="7">
        <f t="shared" si="35"/>
        <v>757821.75000000012</v>
      </c>
      <c r="R49" s="153">
        <f t="shared" si="36"/>
        <v>8949874.8675000016</v>
      </c>
      <c r="S49" s="20">
        <f t="shared" ref="S49:S55" si="42">S36</f>
        <v>426.38069999999999</v>
      </c>
      <c r="T49" s="22">
        <f t="shared" ca="1" si="37"/>
        <v>6711.1874068990401</v>
      </c>
    </row>
    <row r="50" spans="2:20" x14ac:dyDescent="0.25">
      <c r="B50" s="107" t="str">
        <f t="shared" ref="B50:B55" si="43">B37</f>
        <v>Tramo</v>
      </c>
      <c r="C50" s="153">
        <f>MCI!F21</f>
        <v>4</v>
      </c>
      <c r="E50" s="153" t="str">
        <f t="shared" si="38"/>
        <v>C2</v>
      </c>
      <c r="F50" s="27">
        <f t="shared" si="32"/>
        <v>7.0166666666666669E-2</v>
      </c>
      <c r="G50" s="121">
        <f t="shared" si="32"/>
        <v>1.37</v>
      </c>
      <c r="H50" s="121">
        <f t="shared" si="39"/>
        <v>0.37000000000000011</v>
      </c>
      <c r="I50" s="153">
        <f t="shared" si="40"/>
        <v>383.00475</v>
      </c>
      <c r="J50" s="21">
        <f t="shared" si="41"/>
        <v>20643.956024999999</v>
      </c>
      <c r="K50" s="135">
        <f>IF(AND(C53=2,C52="P"),T!$I$46,IF(AND(C53=4,C52="P"),T!$I$47,IF(AND(C53=6,C52="P"),T!$I$48,IF(AND(C53=8,C52="P"),T!$I$49,IF(AND(C53=10,C52="P"),T!$I$50,IF(AND(C53=12,C52="P"),T!$I$51,0))))))</f>
        <v>0</v>
      </c>
      <c r="L50" s="135">
        <f>IF(AND(C53=2,C52="L"),T!$J$46,IF(AND(C53=4,C52="L"),T!$J$47,IF(AND(C53=6,C52="L"),T!$J$48,IF(AND(C53=8,C52="L"),T!$J$49,IF(AND(C53=10,C52="L"),T!$J$50,IF(AND(C53=12,C52="L"),T!$J$51,0))))))</f>
        <v>0</v>
      </c>
      <c r="M50" s="135">
        <f>IF(AND(C53=2,C52="M"),T!$K$46,IF(AND(C53=4,C52="M"),T!$K$47,IF(AND(C53=6,C52="M"),T!$K$48,IF(AND(C53=8,C52="M"),T!$K$49,IF(AND(C53=10,C52="M"),T!$K$50,IF(AND(C53=12,C52="M"),T!$K$51,0))))))</f>
        <v>42.09</v>
      </c>
      <c r="O50" s="153">
        <f t="shared" si="33"/>
        <v>42.09</v>
      </c>
      <c r="P50" s="7">
        <f t="shared" si="34"/>
        <v>4610.1211689237352</v>
      </c>
      <c r="Q50" s="7">
        <f t="shared" si="35"/>
        <v>1765698.305773343</v>
      </c>
      <c r="R50" s="153">
        <f t="shared" si="36"/>
        <v>653308.37313613703</v>
      </c>
      <c r="S50" s="20">
        <f t="shared" si="42"/>
        <v>298.98342500000001</v>
      </c>
      <c r="T50" s="22">
        <f t="shared" ca="1" si="37"/>
        <v>9711.8254725291335</v>
      </c>
    </row>
    <row r="51" spans="2:20" x14ac:dyDescent="0.25">
      <c r="B51" s="107" t="str">
        <f t="shared" si="43"/>
        <v>Longitud (m)</v>
      </c>
      <c r="C51" s="76">
        <f>MCI!F23</f>
        <v>53900</v>
      </c>
      <c r="E51" s="153" t="str">
        <f t="shared" si="38"/>
        <v>C3</v>
      </c>
      <c r="F51" s="27">
        <f t="shared" si="32"/>
        <v>2.0833333333333332E-2</v>
      </c>
      <c r="G51" s="121">
        <f t="shared" si="32"/>
        <v>1.23</v>
      </c>
      <c r="H51" s="121">
        <f t="shared" si="39"/>
        <v>0.22999999999999998</v>
      </c>
      <c r="I51" s="153">
        <f t="shared" si="40"/>
        <v>113.71875</v>
      </c>
      <c r="J51" s="21">
        <f t="shared" si="41"/>
        <v>6129.4406250000002</v>
      </c>
      <c r="K51" s="135">
        <f>IF(AND(C53=2,C52="P"),T!$I$36,IF(AND(C53=4,C52="P"),T!$I$37,IF(AND(C53=6,C52="P"),T!$I$38,IF(AND(C53=8,C52="P"),T!$I$39,IF(AND(C53=10,C52="P"),T!$I$40,IF(AND(C53=12,C52="P"),T!$I$41,0))))))</f>
        <v>0</v>
      </c>
      <c r="L51" s="135">
        <f>IF(AND(C53=2,C52="L"),T!$J$36,IF(AND(C53=4,C52="L"),T!$J$37,IF(AND(C53=6,C52="L"),T!$J$38,IF(AND(C53=8,C52="L"),T!$J$39,IF(AND(C53=10,C52="L"),T!$J$40,IF(AND(C53=12,C52="L"),T!$J$41,0))))))</f>
        <v>0</v>
      </c>
      <c r="M51" s="135">
        <f>IF(AND(C53=2,C52="M"),T!$K$36,IF(AND(C53=4,C52="M"),T!$K$37,IF(AND(C53=6,C52="M"),T!$K$38,IF(AND(C53=8,C52="M"),T!$K$39,IF(AND(C53=10,C52="M"),T!$K$40,IF(AND(C53=12,C52="M"),T!$K$41,0))))))</f>
        <v>35.380000000000003</v>
      </c>
      <c r="O51" s="153">
        <f t="shared" si="33"/>
        <v>35.380000000000003</v>
      </c>
      <c r="P51" s="7">
        <f t="shared" si="34"/>
        <v>5484.4544940644428</v>
      </c>
      <c r="Q51" s="7">
        <f t="shared" si="35"/>
        <v>623685.30949689087</v>
      </c>
      <c r="R51" s="153">
        <f t="shared" si="36"/>
        <v>143447.62118428489</v>
      </c>
      <c r="S51" s="20">
        <f t="shared" si="42"/>
        <v>924.03227500000003</v>
      </c>
      <c r="T51" s="22">
        <f t="shared" ca="1" si="37"/>
        <v>8911.8694215573632</v>
      </c>
    </row>
    <row r="52" spans="2:20" x14ac:dyDescent="0.25">
      <c r="B52" s="107" t="str">
        <f t="shared" si="43"/>
        <v>Tipo de terreno</v>
      </c>
      <c r="C52" s="121" t="str">
        <f>IF(MCI!F24=LISTA!A2,"P",IF(MCI!F24=LISTA!A3,"L",IF(MCI!F24=LISTA!A4,"M",0)))</f>
        <v>M</v>
      </c>
      <c r="E52" s="153" t="str">
        <f t="shared" si="38"/>
        <v>T3S2</v>
      </c>
      <c r="F52" s="27">
        <f t="shared" si="32"/>
        <v>4.8333333333333339E-2</v>
      </c>
      <c r="G52" s="121">
        <f t="shared" si="32"/>
        <v>1.1399999999999999</v>
      </c>
      <c r="H52" s="121">
        <f t="shared" si="39"/>
        <v>0.1399999999999999</v>
      </c>
      <c r="I52" s="153">
        <f t="shared" si="40"/>
        <v>263.82750000000004</v>
      </c>
      <c r="J52" s="21">
        <f t="shared" si="41"/>
        <v>14220.302250000002</v>
      </c>
      <c r="K52" s="135">
        <f>IF(AND(C53=2,C52="P"),T!$I$26,IF(AND(C53=4,C52="P"),T!$I$27,IF(AND(C53=6,C52="P"),T!$I$28,IF(AND(C53=8,C52="P"),T!$I$29,IF(AND(C53=10,C52="P"),T!$I$30,IF(AND(C53=12,C52="P"),T!$I$31,0))))))</f>
        <v>0</v>
      </c>
      <c r="L52" s="135">
        <f>IF(AND(C53=2,C52="L"),T!$J$26,IF(AND(C53=4,C52="L"),T!$J$27,IF(AND(C53=6,C52="L"),T!$J$28,IF(AND(C53=8,C52="L"),T!$J$29,IF(AND(C53=10,C52="L"),T!$J$30,IF(AND(C53=12,C52="L"),T!$J$31,0))))))</f>
        <v>0</v>
      </c>
      <c r="M52" s="135">
        <f>IF(AND(C53=2,C52="M"),T!$K$26,IF(AND(C53=4,C52="M"),T!$K$27,IF(AND(C53=6,C52="M"),T!$K$28,IF(AND(C53=8,C52="M"),T!$K$29,IF(AND(C53=10,C52="M"),T!$K$30,IF(AND(C53=12,C52="M"),T!$K$31,0))))))</f>
        <v>37.57</v>
      </c>
      <c r="O52" s="153">
        <f t="shared" si="33"/>
        <v>37.57</v>
      </c>
      <c r="P52" s="7">
        <f t="shared" si="34"/>
        <v>5164.7591163162097</v>
      </c>
      <c r="Q52" s="7">
        <f t="shared" si="35"/>
        <v>1362605.4857599151</v>
      </c>
      <c r="R52" s="153">
        <f t="shared" si="36"/>
        <v>190764.76800638798</v>
      </c>
      <c r="S52" s="20">
        <f t="shared" si="42"/>
        <v>831.62905000000001</v>
      </c>
      <c r="T52" s="22">
        <f t="shared" ca="1" si="37"/>
        <v>18607.983408150132</v>
      </c>
    </row>
    <row r="53" spans="2:20" x14ac:dyDescent="0.25">
      <c r="B53" s="107" t="str">
        <f t="shared" si="43"/>
        <v>IIR</v>
      </c>
      <c r="C53" s="77">
        <f>MCI!F25</f>
        <v>4</v>
      </c>
      <c r="E53" s="153" t="str">
        <f t="shared" si="38"/>
        <v xml:space="preserve"> T3S3</v>
      </c>
      <c r="F53" s="27">
        <f t="shared" si="32"/>
        <v>1.55E-2</v>
      </c>
      <c r="G53" s="121">
        <f t="shared" si="32"/>
        <v>1.1399999999999999</v>
      </c>
      <c r="H53" s="121">
        <f t="shared" si="39"/>
        <v>0.1399999999999999</v>
      </c>
      <c r="I53" s="153">
        <f t="shared" si="40"/>
        <v>84.606750000000005</v>
      </c>
      <c r="J53" s="21">
        <f t="shared" si="41"/>
        <v>4560.303825</v>
      </c>
      <c r="K53" s="135">
        <f>IF(AND(C53=2,C52="P"),T!$I$16,IF(AND(C53=4,C52="P"),T!$I$17,IF(AND(C53=6,C52="P"),T!$I$18,IF(AND(C53=8,C52="P"),T!$I$19,IF(AND(C53=10,C52="P"),T!$I$20,IF(AND(C53=12,C52="P"),T!$I$21,0))))))</f>
        <v>0</v>
      </c>
      <c r="L53" s="135">
        <f>IF(AND(C53=2,C52="L"),T!$J$16,IF(AND(C53=4,C52="L"),T!$J$17,IF(AND(C53=6,C52="L"),T!$J$18,IF(AND(C53=8,C52="L"),T!$J$19,IF(AND(C53=10,C52="L"),T!$J$20,IF(AND(C53=12,C52="L"),T!$J$21,0))))))</f>
        <v>0</v>
      </c>
      <c r="M53" s="135">
        <f>IF(AND(C53=2,C52="M"),T!$K$16,IF(AND(C53=4,C52="M"),T!$K$17,IF(AND(C53=6,C52="M"),T!$K$18,IF(AND(C53=8,C52="M"),T!$K$19,IF(AND(C53=10,C52="M"),T!$K$20,IF(AND(C53=12,C52="M"),T!$K$21,0))))))</f>
        <v>32.21</v>
      </c>
      <c r="O53" s="153">
        <f t="shared" si="33"/>
        <v>32.21</v>
      </c>
      <c r="P53" s="7">
        <f t="shared" si="34"/>
        <v>6024.216081962124</v>
      </c>
      <c r="Q53" s="7">
        <f t="shared" si="35"/>
        <v>509689.34399254899</v>
      </c>
      <c r="R53" s="153">
        <f t="shared" si="36"/>
        <v>71356.508158956814</v>
      </c>
      <c r="S53" s="20">
        <f t="shared" si="42"/>
        <v>1396.2482500000001</v>
      </c>
      <c r="T53" s="22">
        <f t="shared" ca="1" si="37"/>
        <v>10018.835619734187</v>
      </c>
    </row>
    <row r="54" spans="2:20" x14ac:dyDescent="0.25">
      <c r="B54" s="107" t="str">
        <f t="shared" si="43"/>
        <v>Descripción</v>
      </c>
      <c r="C54" s="104" t="str">
        <f>MCI!F22</f>
        <v>Acambay - Palmillas (57)</v>
      </c>
      <c r="E54" s="153" t="str">
        <f t="shared" si="38"/>
        <v xml:space="preserve"> T3S2R4</v>
      </c>
      <c r="F54" s="27">
        <f t="shared" si="32"/>
        <v>1.0166666666666666E-2</v>
      </c>
      <c r="G54" s="121">
        <f t="shared" si="32"/>
        <v>1.0900000000000001</v>
      </c>
      <c r="H54" s="121">
        <f t="shared" si="39"/>
        <v>9.000000000000008E-2</v>
      </c>
      <c r="I54" s="153">
        <f t="shared" si="40"/>
        <v>55.494749999999996</v>
      </c>
      <c r="J54" s="21">
        <f t="shared" si="41"/>
        <v>2991.1670249999997</v>
      </c>
      <c r="K54" s="135">
        <f>IF(AND(C53=2,C52="P"),T!$I$6,IF(AND(C53=4,C52="P"),T!$I$7,IF(AND(C53=6,C52="P"),T!$I$8,IF(AND(C53=8,C52="P"),T!$I$9,IF(AND(C53=10,C52="P"),T!$I$10,IF(AND(C53=12,C52="P"),T!$I$11,0))))))</f>
        <v>0</v>
      </c>
      <c r="L54" s="135">
        <f>IF(AND(C53=2,C52="L"),T!$J$6,IF(AND(C53=4,C52="L"),T!$J$7,IF(AND(C53=6,C52="L"),T!$J$8,IF(AND(C53=8,C52="L"),T!$J$9,IF(AND(C53=10,C52="L"),T!$J$10,IF(AND(C53=12,C52="L"),T!$J$11,0))))))</f>
        <v>0</v>
      </c>
      <c r="M54" s="135">
        <f>IF(AND(C53=2,C52="M"),T!$K$6,IF(AND(C53=4,C52="M"),T!$K$7,IF(AND(C53=6,C52="M"),T!$K$8,IF(AND(C53=8,C52="M"),T!$K$9,IF(AND(C53=10,C52="M"),T!$K$10,IF(AND(C53=12,C52="M"),T!$K$11,0))))))</f>
        <v>25.16</v>
      </c>
      <c r="O54" s="153">
        <f t="shared" si="33"/>
        <v>25.16</v>
      </c>
      <c r="P54" s="7">
        <f t="shared" si="34"/>
        <v>7712.2416534181239</v>
      </c>
      <c r="Q54" s="7">
        <f t="shared" si="35"/>
        <v>427988.92249602539</v>
      </c>
      <c r="R54" s="153">
        <f t="shared" si="36"/>
        <v>38519.003024642319</v>
      </c>
      <c r="S54" s="20">
        <f t="shared" si="42"/>
        <v>1535.873075</v>
      </c>
      <c r="T54" s="22">
        <f t="shared" ca="1" si="37"/>
        <v>7228.6437643458494</v>
      </c>
    </row>
    <row r="55" spans="2:20" x14ac:dyDescent="0.25">
      <c r="B55" s="107" t="str">
        <f t="shared" si="43"/>
        <v>TDPARP (vpd)</v>
      </c>
      <c r="C55" s="121">
        <f>C42</f>
        <v>5458.5</v>
      </c>
      <c r="E55" s="153" t="str">
        <f t="shared" si="38"/>
        <v xml:space="preserve"> OTROS</v>
      </c>
      <c r="F55" s="27">
        <f t="shared" si="32"/>
        <v>3.0000000000000768E-3</v>
      </c>
      <c r="G55" s="121">
        <f t="shared" si="32"/>
        <v>1.0900000000000001</v>
      </c>
      <c r="H55" s="121">
        <f t="shared" si="39"/>
        <v>9.000000000000008E-2</v>
      </c>
      <c r="I55" s="153">
        <f>F55*$C$55</f>
        <v>16.375500000000418</v>
      </c>
      <c r="J55" s="21">
        <f t="shared" si="41"/>
        <v>882.63945000002252</v>
      </c>
      <c r="K55" s="153"/>
      <c r="L55" s="153"/>
      <c r="M55" s="153"/>
      <c r="O55" s="140">
        <f>AVERAGE(O48:O54)</f>
        <v>38.769999999999996</v>
      </c>
      <c r="P55" s="7">
        <f t="shared" si="34"/>
        <v>5004.9006964147547</v>
      </c>
      <c r="Q55" s="7">
        <f t="shared" si="35"/>
        <v>81957.751354141903</v>
      </c>
      <c r="R55" s="153">
        <f t="shared" si="36"/>
        <v>7376.1976218727777</v>
      </c>
      <c r="S55" s="20">
        <f t="shared" si="42"/>
        <v>802.86334999999997</v>
      </c>
      <c r="T55" s="22">
        <f t="shared" ca="1" si="37"/>
        <v>1115.028066256471</v>
      </c>
    </row>
    <row r="56" spans="2:20" x14ac:dyDescent="0.25">
      <c r="E56" s="19"/>
      <c r="F56" s="43"/>
      <c r="G56" s="43"/>
      <c r="H56" s="43"/>
      <c r="I56" s="19"/>
      <c r="J56" s="44"/>
      <c r="Q56" s="82" t="s">
        <v>17</v>
      </c>
      <c r="R56" s="153">
        <f>SUM(R48:R55)</f>
        <v>31078275.161593806</v>
      </c>
      <c r="S56" s="82" t="s">
        <v>17</v>
      </c>
      <c r="T56" s="23">
        <f ca="1">SUM(T48:T55)</f>
        <v>138738.0929380953</v>
      </c>
    </row>
    <row r="58" spans="2:20" x14ac:dyDescent="0.25">
      <c r="E58" s="153" t="s">
        <v>19</v>
      </c>
      <c r="F58" s="82" t="s">
        <v>24</v>
      </c>
      <c r="G58" s="82" t="s">
        <v>41</v>
      </c>
      <c r="H58" s="82" t="s">
        <v>290</v>
      </c>
      <c r="I58" s="82" t="s">
        <v>20</v>
      </c>
      <c r="J58" s="154" t="s">
        <v>36</v>
      </c>
      <c r="K58" s="153"/>
      <c r="L58" s="153"/>
      <c r="M58" s="153"/>
      <c r="O58" s="154" t="s">
        <v>21</v>
      </c>
      <c r="P58" s="82" t="s">
        <v>292</v>
      </c>
      <c r="Q58" s="82" t="s">
        <v>77</v>
      </c>
      <c r="R58" s="82" t="s">
        <v>42</v>
      </c>
      <c r="S58" s="82" t="s">
        <v>50</v>
      </c>
      <c r="T58" s="82" t="s">
        <v>31</v>
      </c>
    </row>
    <row r="59" spans="2:20" x14ac:dyDescent="0.25">
      <c r="E59" s="352" t="s">
        <v>1</v>
      </c>
      <c r="F59" s="153" t="s">
        <v>6</v>
      </c>
      <c r="G59" s="142" t="str">
        <f>G46</f>
        <v>(persona/veh)</v>
      </c>
      <c r="H59" s="142" t="str">
        <f>G59</f>
        <v>(persona/veh)</v>
      </c>
      <c r="I59" s="153" t="s">
        <v>7</v>
      </c>
      <c r="J59" s="153" t="s">
        <v>142</v>
      </c>
      <c r="K59" s="153"/>
      <c r="L59" s="153"/>
      <c r="M59" s="153"/>
      <c r="O59" s="153" t="s">
        <v>8</v>
      </c>
      <c r="P59" s="153" t="s">
        <v>11</v>
      </c>
      <c r="Q59" s="153" t="s">
        <v>287</v>
      </c>
      <c r="R59" s="153" t="s">
        <v>9</v>
      </c>
      <c r="S59" s="153" t="s">
        <v>45</v>
      </c>
      <c r="T59" s="153" t="s">
        <v>46</v>
      </c>
    </row>
    <row r="60" spans="2:20" ht="75" x14ac:dyDescent="0.25">
      <c r="E60" s="352"/>
      <c r="F60" s="152" t="s">
        <v>5</v>
      </c>
      <c r="G60" s="152" t="s">
        <v>112</v>
      </c>
      <c r="H60" s="152" t="s">
        <v>289</v>
      </c>
      <c r="I60" s="152" t="s">
        <v>3</v>
      </c>
      <c r="J60" s="152" t="s">
        <v>143</v>
      </c>
      <c r="K60" s="153"/>
      <c r="L60" s="153"/>
      <c r="M60" s="153"/>
      <c r="O60" s="152" t="s">
        <v>4</v>
      </c>
      <c r="P60" s="152" t="s">
        <v>10</v>
      </c>
      <c r="Q60" s="152" t="s">
        <v>288</v>
      </c>
      <c r="R60" s="152" t="s">
        <v>12</v>
      </c>
      <c r="S60" s="152" t="s">
        <v>44</v>
      </c>
      <c r="T60" s="152" t="s">
        <v>51</v>
      </c>
    </row>
    <row r="61" spans="2:20" x14ac:dyDescent="0.25">
      <c r="E61" s="153" t="str">
        <f>E48</f>
        <v>A</v>
      </c>
      <c r="F61" s="27">
        <f t="shared" ref="F61:G68" si="44">F48</f>
        <v>0.79800000000000004</v>
      </c>
      <c r="G61" s="121">
        <f>G48</f>
        <v>2.2799999999999998</v>
      </c>
      <c r="H61" s="121">
        <f>G61-1</f>
        <v>1.2799999999999998</v>
      </c>
      <c r="I61" s="153">
        <f>F61*$C$68</f>
        <v>4355.8829999999998</v>
      </c>
      <c r="J61" s="21">
        <f>I61*$C$64/1000</f>
        <v>361973.87729999999</v>
      </c>
      <c r="K61" s="135">
        <f>IF(AND(C66=2,C65="P"),T!$I$66,IF(AND(C66=4,C65="P"),T!$I$67,IF(AND(C66=6,C65="P"),T!$I$68,IF(AND(C66=8,C65="P"),T!$I$69,IF(AND(C66=10,C65="P"),T!$I$70,IF(AND(C66=12,C65="P"),T!$I$71,0))))))</f>
        <v>0</v>
      </c>
      <c r="L61" s="135">
        <f>IF(AND(C66=2,C65="L"),T!$J$66,IF(AND(C66=4,C65="L"),T!$J$67,IF(AND(C66=6,C65="L"),T!$J$68,IF(AND(C66=8,C65="L"),T!$J$69,IF(AND(C66=10,C65="L"),T!$J$70,IF(AND(C66=12,C65="L"),T!$J$71,0))))))</f>
        <v>60.9</v>
      </c>
      <c r="M61" s="135">
        <f>IF(AND(C66=2,C65="M"),T!$K$66,IF(AND(C66=4,C65="M"),T!$K$67,IF(AND(C66=6,C65="M"),T!$K$68,IF(AND(C66=8,C65="M"),T!$K$69,IF(AND(C66=10,C65="M"),T!$K$70,IF(AND(C66=12,C65="M"),T!$K$71,0))))))</f>
        <v>0</v>
      </c>
      <c r="O61" s="153">
        <f t="shared" ref="O61:O67" si="45">SUM(K61:M61)</f>
        <v>60.9</v>
      </c>
      <c r="P61" s="7">
        <f t="shared" ref="P61:P68" si="46">C$64*3600/(O61*1000)</f>
        <v>4912.3152709359601</v>
      </c>
      <c r="Q61" s="7">
        <f t="shared" ref="Q61:Q68" si="47">P61*I61</f>
        <v>21397470.579310343</v>
      </c>
      <c r="R61" s="153">
        <f t="shared" ref="R61:R68" si="48">Q61*H61</f>
        <v>27388762.341517236</v>
      </c>
      <c r="S61" s="20">
        <f>S48</f>
        <v>206.89667499999999</v>
      </c>
      <c r="T61" s="22">
        <f t="shared" ref="T61:T68" ca="1" si="49">S61*J61*$F$3/1000000</f>
        <v>117839.68485349874</v>
      </c>
    </row>
    <row r="62" spans="2:20" x14ac:dyDescent="0.25">
      <c r="E62" s="153" t="str">
        <f t="shared" ref="E62:E68" si="50">E49</f>
        <v xml:space="preserve"> B</v>
      </c>
      <c r="F62" s="27">
        <f t="shared" si="44"/>
        <v>3.4000000000000002E-2</v>
      </c>
      <c r="G62" s="121">
        <f t="shared" si="44"/>
        <v>12.81</v>
      </c>
      <c r="H62" s="121">
        <f t="shared" ref="H62:H68" si="51">G62-1</f>
        <v>11.81</v>
      </c>
      <c r="I62" s="153">
        <f t="shared" ref="I62:I67" si="52">F62*$C$68</f>
        <v>185.58900000000003</v>
      </c>
      <c r="J62" s="21">
        <f t="shared" ref="J62:J68" si="53">I62*$C$64/1000</f>
        <v>15422.445900000002</v>
      </c>
      <c r="K62" s="135">
        <f>IF(AND(C66=2,C65="P"),T!$I$56,IF(AND(C66=4,C65="P"),T!$I$57,IF(AND(C66=6,C65="P"),T!$I$58,IF(AND(C66=8,C65="P"),T!$I$59,IF(AND(C66=10,C65="P"),T!$I$60,IF(AND(C66=12,C65="P"),T!$I$61,0))))))</f>
        <v>0</v>
      </c>
      <c r="L62" s="135">
        <f>IF(AND(C66=2,C65="L"),T!$J$56,IF(AND(C66=4,C65="L"),T!$J$57,IF(AND(C66=6,C65="L"),T!$J$58,IF(AND(C66=8,C65="L"),T!$J$59,IF(AND(C66=10,C65="L"),T!$J$60,IF(AND(C66=12,C65="L"),T!$J$61,0))))))</f>
        <v>57.38</v>
      </c>
      <c r="M62" s="135">
        <f>IF(AND(C66=2,C65="M"),T!$K$56,IF(AND(C66=4,C65="M"),T!$K$57,IF(AND(C66=6,C65="M"),T!$K$58,IF(AND(C66=8,C65="M"),T!$K$59,IF(AND(C66=10,C65="M"),T!$K$60,IF(AND(C66=12,C65="M"),T!$K$61,0))))))</f>
        <v>0</v>
      </c>
      <c r="O62" s="153">
        <f t="shared" si="45"/>
        <v>57.38</v>
      </c>
      <c r="P62" s="7">
        <f t="shared" si="46"/>
        <v>5213.6632973161377</v>
      </c>
      <c r="Q62" s="7">
        <f t="shared" si="47"/>
        <v>967598.55768560478</v>
      </c>
      <c r="R62" s="153">
        <f t="shared" si="48"/>
        <v>11427338.966266993</v>
      </c>
      <c r="S62" s="20">
        <f t="shared" ref="S62:S68" si="54">S49</f>
        <v>426.38069999999999</v>
      </c>
      <c r="T62" s="22">
        <f t="shared" ca="1" si="49"/>
        <v>10346.932718243232</v>
      </c>
    </row>
    <row r="63" spans="2:20" x14ac:dyDescent="0.25">
      <c r="B63" s="107" t="str">
        <f t="shared" ref="B63:B68" si="55">B50</f>
        <v>Tramo</v>
      </c>
      <c r="C63" s="153">
        <f>MCI!G21</f>
        <v>5</v>
      </c>
      <c r="E63" s="153" t="str">
        <f t="shared" si="50"/>
        <v>C2</v>
      </c>
      <c r="F63" s="27">
        <f t="shared" si="44"/>
        <v>7.0166666666666669E-2</v>
      </c>
      <c r="G63" s="121">
        <f t="shared" si="44"/>
        <v>1.37</v>
      </c>
      <c r="H63" s="121">
        <f t="shared" si="51"/>
        <v>0.37000000000000011</v>
      </c>
      <c r="I63" s="153">
        <f t="shared" si="52"/>
        <v>383.00475</v>
      </c>
      <c r="J63" s="21">
        <f t="shared" si="53"/>
        <v>31827.694725000001</v>
      </c>
      <c r="K63" s="135">
        <f>IF(AND(C66=2,C65="P"),T!$I$46,IF(AND(C66=4,C65="P"),T!$I$47,IF(AND(C66=6,C65="P"),T!$I$48,IF(AND(C66=8,C65="P"),T!$I$49,IF(AND(C66=10,C65="P"),T!$I$50,IF(AND(C66=12,C65="P"),T!$I$51,0))))))</f>
        <v>0</v>
      </c>
      <c r="L63" s="135">
        <f>IF(AND(C66=2,C65="L"),T!$J$46,IF(AND(C66=4,C65="L"),T!$J$47,IF(AND(C66=6,C65="L"),T!$J$48,IF(AND(C66=8,C65="L"),T!$J$49,IF(AND(C66=10,C65="L"),T!$J$50,IF(AND(C66=12,C65="L"),T!$J$51,0))))))</f>
        <v>48.37</v>
      </c>
      <c r="M63" s="135">
        <f>IF(AND(C66=2,C65="M"),T!$K$46,IF(AND(C66=4,C65="M"),T!$K$47,IF(AND(C66=6,C65="M"),T!$K$48,IF(AND(C66=8,C65="M"),T!$K$49,IF(AND(C66=10,C65="M"),T!$K$50,IF(AND(C66=12,C65="M"),T!$K$51,0))))))</f>
        <v>0</v>
      </c>
      <c r="O63" s="153">
        <f t="shared" si="45"/>
        <v>48.37</v>
      </c>
      <c r="P63" s="7">
        <f t="shared" si="46"/>
        <v>6184.8253049410796</v>
      </c>
      <c r="Q63" s="7">
        <f t="shared" si="47"/>
        <v>2368817.4697126318</v>
      </c>
      <c r="R63" s="153">
        <f t="shared" si="48"/>
        <v>876462.46379367402</v>
      </c>
      <c r="S63" s="20">
        <f t="shared" si="54"/>
        <v>298.98342500000001</v>
      </c>
      <c r="T63" s="22">
        <f t="shared" ca="1" si="49"/>
        <v>14973.148363027291</v>
      </c>
    </row>
    <row r="64" spans="2:20" x14ac:dyDescent="0.25">
      <c r="B64" s="107" t="str">
        <f t="shared" si="55"/>
        <v>Longitud (m)</v>
      </c>
      <c r="C64" s="76">
        <f>MCI!G23</f>
        <v>83100</v>
      </c>
      <c r="E64" s="153" t="str">
        <f t="shared" si="50"/>
        <v>C3</v>
      </c>
      <c r="F64" s="27">
        <f t="shared" si="44"/>
        <v>2.0833333333333332E-2</v>
      </c>
      <c r="G64" s="121">
        <f t="shared" si="44"/>
        <v>1.23</v>
      </c>
      <c r="H64" s="121">
        <f t="shared" si="51"/>
        <v>0.22999999999999998</v>
      </c>
      <c r="I64" s="153">
        <f t="shared" si="52"/>
        <v>113.71875</v>
      </c>
      <c r="J64" s="21">
        <f t="shared" si="53"/>
        <v>9450.0281250000007</v>
      </c>
      <c r="K64" s="135">
        <f>IF(AND(C66=2,C65="P"),T!$I$36,IF(AND(C66=4,C65="P"),T!$I$37,IF(AND(C66=6,C65="P"),T!$I$38,IF(AND(C66=8,C65="P"),T!$I$39,IF(AND(C66=10,C65="P"),T!$I$40,IF(AND(C66=12,C65="P"),T!$I$41,0))))))</f>
        <v>0</v>
      </c>
      <c r="L64" s="135">
        <f>IF(AND(C66=2,C65="L"),T!$J$36,IF(AND(C66=4,C65="L"),T!$J$37,IF(AND(C66=6,C65="L"),T!$J$38,IF(AND(C66=8,C65="L"),T!$J$39,IF(AND(C66=10,C65="L"),T!$J$40,IF(AND(C66=12,C65="L"),T!$J$41,0))))))</f>
        <v>42.88</v>
      </c>
      <c r="M64" s="135">
        <f>IF(AND(C66=2,C65="M"),T!$K$36,IF(AND(C66=4,C65="M"),T!$K$37,IF(AND(C66=6,C65="M"),T!$K$38,IF(AND(C66=8,C65="M"),T!$K$39,IF(AND(C66=10,C65="M"),T!$K$40,IF(AND(C66=12,C65="M"),T!$K$41,0))))))</f>
        <v>0</v>
      </c>
      <c r="O64" s="153">
        <f t="shared" si="45"/>
        <v>42.88</v>
      </c>
      <c r="P64" s="7">
        <f t="shared" si="46"/>
        <v>6976.6791044776119</v>
      </c>
      <c r="Q64" s="7">
        <f t="shared" si="47"/>
        <v>793379.22691231337</v>
      </c>
      <c r="R64" s="153">
        <f t="shared" si="48"/>
        <v>182477.22218983207</v>
      </c>
      <c r="S64" s="20">
        <f t="shared" si="54"/>
        <v>924.03227500000003</v>
      </c>
      <c r="T64" s="22">
        <f t="shared" ca="1" si="49"/>
        <v>13739.820944924249</v>
      </c>
    </row>
    <row r="65" spans="2:20" x14ac:dyDescent="0.25">
      <c r="B65" s="107" t="str">
        <f t="shared" si="55"/>
        <v>Tipo de terreno</v>
      </c>
      <c r="C65" s="121" t="str">
        <f>IF(MCI!G24=LISTA!A2,"P",IF(MCI!G24=LISTA!A3,"L",IF(MCI!G24=LISTA!A4,"M",0)))</f>
        <v>L</v>
      </c>
      <c r="E65" s="153" t="str">
        <f t="shared" si="50"/>
        <v>T3S2</v>
      </c>
      <c r="F65" s="27">
        <f t="shared" si="44"/>
        <v>4.8333333333333339E-2</v>
      </c>
      <c r="G65" s="121">
        <f t="shared" si="44"/>
        <v>1.1399999999999999</v>
      </c>
      <c r="H65" s="121">
        <f t="shared" si="51"/>
        <v>0.1399999999999999</v>
      </c>
      <c r="I65" s="153">
        <f t="shared" si="52"/>
        <v>263.82750000000004</v>
      </c>
      <c r="J65" s="21">
        <f t="shared" si="53"/>
        <v>21924.065250000003</v>
      </c>
      <c r="K65" s="135">
        <f>IF(AND(C66=2,C65="P"),T!$I$26,IF(AND(C66=4,C65="P"),T!$I$27,IF(AND(C66=6,C65="P"),T!$I$28,IF(AND(C66=8,C65="P"),T!$I$29,IF(AND(C66=10,C65="P"),T!$I$30,IF(AND(C66=12,C65="P"),T!$I$31,0))))))</f>
        <v>0</v>
      </c>
      <c r="L65" s="135">
        <f>IF(AND(C66=2,C65="L"),T!$J$26,IF(AND(C66=4,C65="L"),T!$J$27,IF(AND(C66=6,C65="L"),T!$J$28,IF(AND(C66=8,C65="L"),T!$J$29,IF(AND(C66=10,C65="L"),T!$J$30,IF(AND(C66=12,C65="L"),T!$J$31,0))))))</f>
        <v>42.9</v>
      </c>
      <c r="M65" s="135">
        <f>IF(AND(C66=2,C65="M"),T!$K$26,IF(AND(C66=4,C65="M"),T!$K$27,IF(AND(C66=6,C65="M"),T!$K$28,IF(AND(C66=8,C65="M"),T!$K$29,IF(AND(C66=10,C65="M"),T!$K$30,IF(AND(C66=12,C65="M"),T!$K$31,0))))))</f>
        <v>0</v>
      </c>
      <c r="O65" s="153">
        <f t="shared" si="45"/>
        <v>42.9</v>
      </c>
      <c r="P65" s="7">
        <f t="shared" si="46"/>
        <v>6973.4265734265737</v>
      </c>
      <c r="Q65" s="7">
        <f t="shared" si="47"/>
        <v>1839781.6993006996</v>
      </c>
      <c r="R65" s="153">
        <f t="shared" si="48"/>
        <v>257569.43790209776</v>
      </c>
      <c r="S65" s="20">
        <f t="shared" si="54"/>
        <v>831.62905000000001</v>
      </c>
      <c r="T65" s="22">
        <f t="shared" ca="1" si="49"/>
        <v>28688.746219244451</v>
      </c>
    </row>
    <row r="66" spans="2:20" x14ac:dyDescent="0.25">
      <c r="B66" s="107" t="str">
        <f t="shared" si="55"/>
        <v>IIR</v>
      </c>
      <c r="C66" s="77">
        <f>MCI!G25</f>
        <v>8</v>
      </c>
      <c r="E66" s="153" t="str">
        <f t="shared" si="50"/>
        <v xml:space="preserve"> T3S3</v>
      </c>
      <c r="F66" s="27">
        <f t="shared" si="44"/>
        <v>1.55E-2</v>
      </c>
      <c r="G66" s="121">
        <f t="shared" si="44"/>
        <v>1.1399999999999999</v>
      </c>
      <c r="H66" s="121">
        <f t="shared" si="51"/>
        <v>0.1399999999999999</v>
      </c>
      <c r="I66" s="153">
        <f t="shared" si="52"/>
        <v>84.606750000000005</v>
      </c>
      <c r="J66" s="21">
        <f t="shared" si="53"/>
        <v>7030.8209250000009</v>
      </c>
      <c r="K66" s="135">
        <f>IF(AND(C66=2,C65="P"),T!$I$16,IF(AND(C66=4,C65="P"),T!$I$17,IF(AND(C66=6,C65="P"),T!$I$18,IF(AND(C66=8,C65="P"),T!$I$19,IF(AND(C66=10,C65="P"),T!$I$20,IF(AND(C66=12,C65="P"),T!$I$21,0))))))</f>
        <v>0</v>
      </c>
      <c r="L66" s="135">
        <f>IF(AND(C66=2,C65="L"),T!$J$16,IF(AND(C66=4,C65="L"),T!$J$17,IF(AND(C66=6,C65="L"),T!$J$18,IF(AND(C66=8,C65="L"),T!$J$19,IF(AND(C66=10,C65="L"),T!$J$20,IF(AND(C66=12,C65="L"),T!$J$21,0))))))</f>
        <v>38.799999999999997</v>
      </c>
      <c r="M66" s="135">
        <f>IF(AND(C66=2,C65="M"),T!$K$16,IF(AND(C66=4,C65="M"),T!$K$17,IF(AND(C66=6,C65="M"),T!$K$18,IF(AND(C66=8,C65="M"),T!$K$19,IF(AND(C66=10,C65="M"),T!$K$20,IF(AND(C66=12,C65="M"),T!$K$21,0))))))</f>
        <v>0</v>
      </c>
      <c r="O66" s="153">
        <f t="shared" si="45"/>
        <v>38.799999999999997</v>
      </c>
      <c r="P66" s="7">
        <f t="shared" si="46"/>
        <v>7710.3092783505153</v>
      </c>
      <c r="Q66" s="7">
        <f t="shared" si="47"/>
        <v>652344.20953608246</v>
      </c>
      <c r="R66" s="153">
        <f t="shared" si="48"/>
        <v>91328.189335051487</v>
      </c>
      <c r="S66" s="20">
        <f t="shared" si="54"/>
        <v>1396.2482500000001</v>
      </c>
      <c r="T66" s="22">
        <f t="shared" ca="1" si="49"/>
        <v>15446.479406306331</v>
      </c>
    </row>
    <row r="67" spans="2:20" x14ac:dyDescent="0.25">
      <c r="B67" s="107" t="str">
        <f t="shared" si="55"/>
        <v>Descripción</v>
      </c>
      <c r="C67" s="104" t="str">
        <f>MCI!G22</f>
        <v>Toluca - Jilotepec (57)</v>
      </c>
      <c r="E67" s="153" t="str">
        <f t="shared" si="50"/>
        <v xml:space="preserve"> T3S2R4</v>
      </c>
      <c r="F67" s="27">
        <f t="shared" si="44"/>
        <v>1.0166666666666666E-2</v>
      </c>
      <c r="G67" s="121">
        <f t="shared" si="44"/>
        <v>1.0900000000000001</v>
      </c>
      <c r="H67" s="121">
        <f t="shared" si="51"/>
        <v>9.000000000000008E-2</v>
      </c>
      <c r="I67" s="153">
        <f t="shared" si="52"/>
        <v>55.494749999999996</v>
      </c>
      <c r="J67" s="21">
        <f t="shared" si="53"/>
        <v>4611.6137249999992</v>
      </c>
      <c r="K67" s="135">
        <f>IF(AND(C66=2,C65="P"),T!$I$6,IF(AND(C66=4,C65="P"),T!$I$7,IF(AND(C66=6,C65="P"),T!$I$8,IF(AND(C66=8,C65="P"),T!$I$9,IF(AND(C66=10,C65="P"),T!$I$10,IF(AND(C66=12,C65="P"),T!$I$11,0))))))</f>
        <v>0</v>
      </c>
      <c r="L67" s="135">
        <f>IF(AND(C66=2,C65="L"),T!$J$6,IF(AND(C66=4,C65="L"),T!$J$7,IF(AND(C66=6,C65="L"),T!$J$8,IF(AND(C66=8,C65="L"),T!$J$9,IF(AND(C66=10,C65="L"),T!$J$10,IF(AND(C66=12,C65="L"),T!$J$11,0))))))</f>
        <v>31.77</v>
      </c>
      <c r="M67" s="135">
        <f>IF(AND(C66=2,C65="M"),T!$K$6,IF(AND(C66=4,C65="M"),T!$K$7,IF(AND(C66=6,C65="M"),T!$K$8,IF(AND(C66=8,C65="M"),T!$K$9,IF(AND(C66=10,C65="M"),T!$K$10,IF(AND(C66=12,C65="M"),T!$K$11,0))))))</f>
        <v>0</v>
      </c>
      <c r="O67" s="153">
        <f t="shared" si="45"/>
        <v>31.77</v>
      </c>
      <c r="P67" s="7">
        <f t="shared" si="46"/>
        <v>9416.4305949008503</v>
      </c>
      <c r="Q67" s="7">
        <f t="shared" si="47"/>
        <v>522562.46175637393</v>
      </c>
      <c r="R67" s="153">
        <f t="shared" si="48"/>
        <v>47030.621558073697</v>
      </c>
      <c r="S67" s="20">
        <f t="shared" si="54"/>
        <v>1535.873075</v>
      </c>
      <c r="T67" s="22">
        <f t="shared" ca="1" si="49"/>
        <v>11144.71793723822</v>
      </c>
    </row>
    <row r="68" spans="2:20" x14ac:dyDescent="0.25">
      <c r="B68" s="107" t="str">
        <f t="shared" si="55"/>
        <v>TDPARP (vpd)</v>
      </c>
      <c r="C68" s="121">
        <f>C55</f>
        <v>5458.5</v>
      </c>
      <c r="E68" s="153" t="str">
        <f t="shared" si="50"/>
        <v xml:space="preserve"> OTROS</v>
      </c>
      <c r="F68" s="27">
        <f t="shared" si="44"/>
        <v>3.0000000000000768E-3</v>
      </c>
      <c r="G68" s="121">
        <f t="shared" si="44"/>
        <v>1.0900000000000001</v>
      </c>
      <c r="H68" s="121">
        <f t="shared" si="51"/>
        <v>9.000000000000008E-2</v>
      </c>
      <c r="I68" s="153">
        <f>F68*$C$68</f>
        <v>16.375500000000418</v>
      </c>
      <c r="J68" s="21">
        <f t="shared" si="53"/>
        <v>1360.8040500000347</v>
      </c>
      <c r="K68" s="153"/>
      <c r="L68" s="153"/>
      <c r="M68" s="153"/>
      <c r="O68" s="140">
        <f>AVERAGE(O61:O67)</f>
        <v>46.142857142857146</v>
      </c>
      <c r="P68" s="7">
        <f t="shared" si="46"/>
        <v>6483.343653250774</v>
      </c>
      <c r="Q68" s="7">
        <f t="shared" si="47"/>
        <v>106167.99399381076</v>
      </c>
      <c r="R68" s="153">
        <f t="shared" si="48"/>
        <v>9555.1194594429762</v>
      </c>
      <c r="S68" s="20">
        <f t="shared" si="54"/>
        <v>802.86334999999997</v>
      </c>
      <c r="T68" s="22">
        <f t="shared" ca="1" si="49"/>
        <v>1719.0877978833535</v>
      </c>
    </row>
    <row r="69" spans="2:20" x14ac:dyDescent="0.25">
      <c r="E69" s="19"/>
      <c r="F69" s="43"/>
      <c r="G69" s="43"/>
      <c r="H69" s="43"/>
      <c r="I69" s="19"/>
      <c r="J69" s="44"/>
      <c r="Q69" s="82" t="s">
        <v>17</v>
      </c>
      <c r="R69" s="153">
        <f>SUM(R61:R68)</f>
        <v>40280524.362022392</v>
      </c>
      <c r="S69" s="82" t="s">
        <v>17</v>
      </c>
      <c r="T69" s="23">
        <f ca="1">SUM(T61:T68)</f>
        <v>213898.6182403659</v>
      </c>
    </row>
    <row r="71" spans="2:20" x14ac:dyDescent="0.25">
      <c r="E71" s="153" t="s">
        <v>19</v>
      </c>
      <c r="F71" s="82" t="s">
        <v>24</v>
      </c>
      <c r="G71" s="82" t="s">
        <v>41</v>
      </c>
      <c r="H71" s="82" t="s">
        <v>290</v>
      </c>
      <c r="I71" s="82" t="s">
        <v>20</v>
      </c>
      <c r="J71" s="154" t="s">
        <v>36</v>
      </c>
      <c r="K71" s="153"/>
      <c r="L71" s="153"/>
      <c r="M71" s="153"/>
      <c r="O71" s="154" t="s">
        <v>21</v>
      </c>
      <c r="P71" s="82" t="s">
        <v>292</v>
      </c>
      <c r="Q71" s="82" t="s">
        <v>77</v>
      </c>
      <c r="R71" s="82" t="s">
        <v>42</v>
      </c>
      <c r="S71" s="82" t="s">
        <v>50</v>
      </c>
      <c r="T71" s="82" t="s">
        <v>31</v>
      </c>
    </row>
    <row r="72" spans="2:20" x14ac:dyDescent="0.25">
      <c r="E72" s="352" t="s">
        <v>1</v>
      </c>
      <c r="F72" s="153" t="s">
        <v>6</v>
      </c>
      <c r="G72" s="142" t="str">
        <f>G59</f>
        <v>(persona/veh)</v>
      </c>
      <c r="H72" s="142" t="str">
        <f>G72</f>
        <v>(persona/veh)</v>
      </c>
      <c r="I72" s="153" t="s">
        <v>7</v>
      </c>
      <c r="J72" s="153" t="s">
        <v>142</v>
      </c>
      <c r="K72" s="153"/>
      <c r="L72" s="153"/>
      <c r="M72" s="153"/>
      <c r="O72" s="153" t="s">
        <v>8</v>
      </c>
      <c r="P72" s="153" t="s">
        <v>11</v>
      </c>
      <c r="Q72" s="153" t="s">
        <v>287</v>
      </c>
      <c r="R72" s="153" t="s">
        <v>9</v>
      </c>
      <c r="S72" s="153" t="s">
        <v>45</v>
      </c>
      <c r="T72" s="153" t="s">
        <v>46</v>
      </c>
    </row>
    <row r="73" spans="2:20" ht="75" x14ac:dyDescent="0.25">
      <c r="E73" s="352"/>
      <c r="F73" s="152" t="s">
        <v>5</v>
      </c>
      <c r="G73" s="152" t="s">
        <v>112</v>
      </c>
      <c r="H73" s="152" t="s">
        <v>289</v>
      </c>
      <c r="I73" s="152" t="s">
        <v>3</v>
      </c>
      <c r="J73" s="152" t="s">
        <v>143</v>
      </c>
      <c r="K73" s="153"/>
      <c r="L73" s="153"/>
      <c r="M73" s="153"/>
      <c r="O73" s="152" t="s">
        <v>4</v>
      </c>
      <c r="P73" s="152" t="s">
        <v>10</v>
      </c>
      <c r="Q73" s="152" t="s">
        <v>288</v>
      </c>
      <c r="R73" s="152" t="s">
        <v>12</v>
      </c>
      <c r="S73" s="152" t="s">
        <v>44</v>
      </c>
      <c r="T73" s="152" t="s">
        <v>51</v>
      </c>
    </row>
    <row r="74" spans="2:20" x14ac:dyDescent="0.25">
      <c r="E74" s="153" t="str">
        <f>E61</f>
        <v>A</v>
      </c>
      <c r="F74" s="27">
        <f t="shared" ref="F74:G81" si="56">F61</f>
        <v>0.79800000000000004</v>
      </c>
      <c r="G74" s="121">
        <f>G61</f>
        <v>2.2799999999999998</v>
      </c>
      <c r="H74" s="121">
        <f>G74-1</f>
        <v>1.2799999999999998</v>
      </c>
      <c r="I74" s="153">
        <f>F74*$C$81</f>
        <v>4355.8829999999998</v>
      </c>
      <c r="J74" s="21">
        <f>I74*$C$77/1000</f>
        <v>170315.02529999998</v>
      </c>
      <c r="K74" s="135">
        <f>IF(AND(C79=2,C78="P"),T!$I$66,IF(AND(C79=4,C78="P"),T!$I$67,IF(AND(C79=6,C78="P"),T!$I$68,IF(AND(C79=8,C78="P"),T!$I$69,IF(AND(C79=10,C78="P"),T!$I$70,IF(AND(C79=12,C78="P"),T!$I$71,0))))))</f>
        <v>0</v>
      </c>
      <c r="L74" s="135">
        <f>IF(AND(C79=2,C78="L"),T!$J$66,IF(AND(C79=4,C78="L"),T!$J$67,IF(AND(C79=6,C78="L"),T!$J$68,IF(AND(C79=8,C78="L"),T!$J$69,IF(AND(C79=10,C78="L"),T!$J$70,IF(AND(C79=12,C78="L"),T!$J$71,0))))))</f>
        <v>65.94</v>
      </c>
      <c r="M74" s="135">
        <f>IF(AND(C79=2,C78="M"),T!$K$66,IF(AND(C79=4,C78="M"),T!$K$67,IF(AND(C79=6,C78="M"),T!$K$68,IF(AND(C79=8,C78="M"),T!$K$69,IF(AND(C79=10,C78="M"),T!$K$70,IF(AND(C79=12,C78="M"),T!$K$71,0))))))</f>
        <v>0</v>
      </c>
      <c r="O74" s="153">
        <f t="shared" ref="O74:O80" si="57">SUM(K74:M74)</f>
        <v>65.94</v>
      </c>
      <c r="P74" s="7">
        <f t="shared" ref="P74:P81" si="58">C$77*3600/(O74*1000)</f>
        <v>2134.6678798908097</v>
      </c>
      <c r="Q74" s="7">
        <f t="shared" ref="Q74:Q81" si="59">P74*I74</f>
        <v>9298363.5286624189</v>
      </c>
      <c r="R74" s="153">
        <f t="shared" ref="R74:R81" si="60">Q74*H74</f>
        <v>11901905.316687895</v>
      </c>
      <c r="S74" s="20">
        <f>S61</f>
        <v>206.89667499999999</v>
      </c>
      <c r="T74" s="22">
        <f t="shared" ref="T74:T81" ca="1" si="61">S74*J74*$F$3/1000000</f>
        <v>55445.627891357391</v>
      </c>
    </row>
    <row r="75" spans="2:20" x14ac:dyDescent="0.25">
      <c r="E75" s="153" t="str">
        <f t="shared" ref="E75:E81" si="62">E62</f>
        <v xml:space="preserve"> B</v>
      </c>
      <c r="F75" s="27">
        <f t="shared" si="56"/>
        <v>3.4000000000000002E-2</v>
      </c>
      <c r="G75" s="121">
        <f t="shared" si="56"/>
        <v>12.81</v>
      </c>
      <c r="H75" s="121">
        <f t="shared" ref="H75:H81" si="63">G75-1</f>
        <v>11.81</v>
      </c>
      <c r="I75" s="153">
        <f t="shared" ref="I75:I80" si="64">F75*$C$81</f>
        <v>185.58900000000003</v>
      </c>
      <c r="J75" s="21">
        <f t="shared" ref="J75:J81" si="65">I75*$C$77/1000</f>
        <v>7256.5299000000014</v>
      </c>
      <c r="K75" s="135">
        <f>IF(AND(C79=2,C78="P"),T!$I$56,IF(AND(C79=4,C78="P"),T!$I$57,IF(AND(C79=6,C78="P"),T!$I$58,IF(AND(C79=8,C78="P"),T!$I$59,IF(AND(C79=10,C78="P"),T!$I$60,IF(AND(C79=12,C78="P"),T!$I$61,0))))))</f>
        <v>0</v>
      </c>
      <c r="L75" s="135">
        <f>IF(AND(C79=2,C78="L"),T!$J$56,IF(AND(C79=4,C78="L"),T!$J$57,IF(AND(C79=6,C78="L"),T!$J$58,IF(AND(C79=8,C78="L"),T!$J$59,IF(AND(C79=10,C78="L"),T!$J$60,IF(AND(C79=12,C78="L"),T!$J$61,0))))))</f>
        <v>62.12</v>
      </c>
      <c r="M75" s="135">
        <f>IF(AND(C79=2,C78="M"),T!$K$56,IF(AND(C79=4,C78="M"),T!$K$57,IF(AND(C79=6,C78="M"),T!$K$58,IF(AND(C79=8,C78="M"),T!$K$59,IF(AND(C79=10,C78="M"),T!$K$60,IF(AND(C79=12,C78="M"),T!$K$61,0))))))</f>
        <v>0</v>
      </c>
      <c r="O75" s="153">
        <f t="shared" si="57"/>
        <v>62.12</v>
      </c>
      <c r="P75" s="7">
        <f t="shared" si="58"/>
        <v>2265.9368963296843</v>
      </c>
      <c r="Q75" s="7">
        <f t="shared" si="59"/>
        <v>420532.96265292983</v>
      </c>
      <c r="R75" s="153">
        <f t="shared" si="60"/>
        <v>4966494.2889311016</v>
      </c>
      <c r="S75" s="20">
        <f t="shared" ref="S75:S81" si="66">S62</f>
        <v>426.38069999999999</v>
      </c>
      <c r="T75" s="22">
        <f t="shared" ca="1" si="61"/>
        <v>4868.4123860807504</v>
      </c>
    </row>
    <row r="76" spans="2:20" x14ac:dyDescent="0.25">
      <c r="B76" s="107" t="str">
        <f t="shared" ref="B76:B81" si="67">B63</f>
        <v>Tramo</v>
      </c>
      <c r="C76" s="153">
        <f>MCI!H21</f>
        <v>6</v>
      </c>
      <c r="E76" s="153" t="str">
        <f t="shared" si="62"/>
        <v>C2</v>
      </c>
      <c r="F76" s="27">
        <f t="shared" si="56"/>
        <v>7.0166666666666669E-2</v>
      </c>
      <c r="G76" s="121">
        <f t="shared" si="56"/>
        <v>1.37</v>
      </c>
      <c r="H76" s="121">
        <f t="shared" si="63"/>
        <v>0.37000000000000011</v>
      </c>
      <c r="I76" s="153">
        <f t="shared" si="64"/>
        <v>383.00475</v>
      </c>
      <c r="J76" s="21">
        <f t="shared" si="65"/>
        <v>14975.485725</v>
      </c>
      <c r="K76" s="135">
        <f>IF(AND(C79=2,C78="P"),T!$I$46,IF(AND(C79=4,C78="P"),T!$I$47,IF(AND(C79=6,C78="P"),T!$I$48,IF(AND(C79=8,C78="P"),T!$I$49,IF(AND(C79=10,C78="P"),T!$I$50,IF(AND(C79=12,C78="P"),T!$I$51,0))))))</f>
        <v>0</v>
      </c>
      <c r="L76" s="135">
        <f>IF(AND(C79=2,C78="L"),T!$J$46,IF(AND(C79=4,C78="L"),T!$J$47,IF(AND(C79=6,C78="L"),T!$J$48,IF(AND(C79=8,C78="L"),T!$J$49,IF(AND(C79=10,C78="L"),T!$J$50,IF(AND(C79=12,C78="L"),T!$J$51,0))))))</f>
        <v>53.77</v>
      </c>
      <c r="M76" s="135">
        <f>IF(AND(C79=2,C78="M"),T!$K$46,IF(AND(C79=4,C78="M"),T!$K$47,IF(AND(C79=6,C78="M"),T!$K$48,IF(AND(C79=8,C78="M"),T!$K$49,IF(AND(C79=10,C78="M"),T!$K$50,IF(AND(C79=12,C78="M"),T!$K$51,0))))))</f>
        <v>0</v>
      </c>
      <c r="O76" s="153">
        <f t="shared" si="57"/>
        <v>53.77</v>
      </c>
      <c r="P76" s="7">
        <f t="shared" si="58"/>
        <v>2617.8166263715825</v>
      </c>
      <c r="Q76" s="7">
        <f t="shared" si="59"/>
        <v>1002636.2025292914</v>
      </c>
      <c r="R76" s="153">
        <f t="shared" si="60"/>
        <v>370975.39493583795</v>
      </c>
      <c r="S76" s="20">
        <f t="shared" si="66"/>
        <v>298.98342500000001</v>
      </c>
      <c r="T76" s="22">
        <f t="shared" ca="1" si="61"/>
        <v>7045.1275691259571</v>
      </c>
    </row>
    <row r="77" spans="2:20" x14ac:dyDescent="0.25">
      <c r="B77" s="107" t="str">
        <f t="shared" si="67"/>
        <v>Longitud (m)</v>
      </c>
      <c r="C77" s="76">
        <f>MCI!H23</f>
        <v>39100</v>
      </c>
      <c r="E77" s="153" t="str">
        <f t="shared" si="62"/>
        <v>C3</v>
      </c>
      <c r="F77" s="27">
        <f t="shared" si="56"/>
        <v>2.0833333333333332E-2</v>
      </c>
      <c r="G77" s="121">
        <f t="shared" si="56"/>
        <v>1.23</v>
      </c>
      <c r="H77" s="121">
        <f t="shared" si="63"/>
        <v>0.22999999999999998</v>
      </c>
      <c r="I77" s="153">
        <f t="shared" si="64"/>
        <v>113.71875</v>
      </c>
      <c r="J77" s="21">
        <f t="shared" si="65"/>
        <v>4446.4031249999998</v>
      </c>
      <c r="K77" s="135">
        <f>IF(AND(C79=2,C78="P"),T!$I$36,IF(AND(C79=4,C78="P"),T!$I$37,IF(AND(C79=6,C78="P"),T!$I$38,IF(AND(C79=8,C78="P"),T!$I$39,IF(AND(C79=10,C78="P"),T!$I$40,IF(AND(C79=12,C78="P"),T!$I$41,0))))))</f>
        <v>0</v>
      </c>
      <c r="L77" s="135">
        <f>IF(AND(C79=2,C78="L"),T!$J$36,IF(AND(C79=4,C78="L"),T!$J$37,IF(AND(C79=6,C78="L"),T!$J$38,IF(AND(C79=8,C78="L"),T!$J$39,IF(AND(C79=10,C78="L"),T!$J$40,IF(AND(C79=12,C78="L"),T!$J$41,0))))))</f>
        <v>46.26</v>
      </c>
      <c r="M77" s="135">
        <f>IF(AND(C79=2,C78="M"),T!$K$36,IF(AND(C79=4,C78="M"),T!$K$37,IF(AND(C79=6,C78="M"),T!$K$38,IF(AND(C79=8,C78="M"),T!$K$39,IF(AND(C79=10,C78="M"),T!$K$40,IF(AND(C79=12,C78="M"),T!$K$41,0))))))</f>
        <v>0</v>
      </c>
      <c r="O77" s="153">
        <f t="shared" si="57"/>
        <v>46.26</v>
      </c>
      <c r="P77" s="7">
        <f t="shared" si="58"/>
        <v>3042.8015564202333</v>
      </c>
      <c r="Q77" s="7">
        <f t="shared" si="59"/>
        <v>346023.5894941634</v>
      </c>
      <c r="R77" s="153">
        <f t="shared" si="60"/>
        <v>79585.425583657576</v>
      </c>
      <c r="S77" s="20">
        <f t="shared" si="66"/>
        <v>924.03227500000003</v>
      </c>
      <c r="T77" s="22">
        <f t="shared" ca="1" si="61"/>
        <v>6464.8254987549708</v>
      </c>
    </row>
    <row r="78" spans="2:20" x14ac:dyDescent="0.25">
      <c r="B78" s="107" t="str">
        <f t="shared" si="67"/>
        <v>Tipo de terreno</v>
      </c>
      <c r="C78" s="121" t="str">
        <f>IF(MCI!H24=LISTA!A2,"P",IF(MCI!H24=LISTA!A3,"L",IF(MCI!H24=LISTA!A4,"M",0)))</f>
        <v>L</v>
      </c>
      <c r="E78" s="153" t="str">
        <f t="shared" si="62"/>
        <v>T3S2</v>
      </c>
      <c r="F78" s="27">
        <f t="shared" si="56"/>
        <v>4.8333333333333339E-2</v>
      </c>
      <c r="G78" s="121">
        <f t="shared" si="56"/>
        <v>1.1399999999999999</v>
      </c>
      <c r="H78" s="121">
        <f t="shared" si="63"/>
        <v>0.1399999999999999</v>
      </c>
      <c r="I78" s="153">
        <f t="shared" si="64"/>
        <v>263.82750000000004</v>
      </c>
      <c r="J78" s="21">
        <f t="shared" si="65"/>
        <v>10315.655250000002</v>
      </c>
      <c r="K78" s="135">
        <f>IF(AND(C79=2,C78="P"),T!$I$26,IF(AND(C79=4,C78="P"),T!$I$27,IF(AND(C79=6,C78="P"),T!$I$28,IF(AND(C79=8,C78="P"),T!$I$29,IF(AND(C79=10,C78="P"),T!$I$30,IF(AND(C79=12,C78="P"),T!$I$31,0))))))</f>
        <v>0</v>
      </c>
      <c r="L78" s="135">
        <f>IF(AND(C79=2,C78="L"),T!$J$26,IF(AND(C79=4,C78="L"),T!$J$27,IF(AND(C79=6,C78="L"),T!$J$28,IF(AND(C79=8,C78="L"),T!$J$29,IF(AND(C79=10,C78="L"),T!$J$30,IF(AND(C79=12,C78="L"),T!$J$31,0))))))</f>
        <v>50.12</v>
      </c>
      <c r="M78" s="135">
        <f>IF(AND(C79=2,C78="M"),T!$K$26,IF(AND(C79=4,C78="M"),T!$K$27,IF(AND(C79=6,C78="M"),T!$K$28,IF(AND(C79=8,C78="M"),T!$K$29,IF(AND(C79=10,C78="M"),T!$K$30,IF(AND(C79=12,C78="M"),T!$K$31,0))))))</f>
        <v>0</v>
      </c>
      <c r="O78" s="153">
        <f t="shared" si="57"/>
        <v>50.12</v>
      </c>
      <c r="P78" s="7">
        <f t="shared" si="58"/>
        <v>2808.459696727853</v>
      </c>
      <c r="Q78" s="7">
        <f t="shared" si="59"/>
        <v>740948.90063846775</v>
      </c>
      <c r="R78" s="153">
        <f t="shared" si="60"/>
        <v>103732.84608938541</v>
      </c>
      <c r="S78" s="20">
        <f t="shared" si="66"/>
        <v>831.62905000000001</v>
      </c>
      <c r="T78" s="22">
        <f t="shared" ca="1" si="61"/>
        <v>13498.555681979034</v>
      </c>
    </row>
    <row r="79" spans="2:20" x14ac:dyDescent="0.25">
      <c r="B79" s="107" t="str">
        <f t="shared" si="67"/>
        <v>IIR</v>
      </c>
      <c r="C79" s="77">
        <f>MCI!H25</f>
        <v>4</v>
      </c>
      <c r="E79" s="153" t="str">
        <f t="shared" si="62"/>
        <v xml:space="preserve"> T3S3</v>
      </c>
      <c r="F79" s="27">
        <f t="shared" si="56"/>
        <v>1.55E-2</v>
      </c>
      <c r="G79" s="121">
        <f t="shared" si="56"/>
        <v>1.1399999999999999</v>
      </c>
      <c r="H79" s="121">
        <f t="shared" si="63"/>
        <v>0.1399999999999999</v>
      </c>
      <c r="I79" s="153">
        <f t="shared" si="64"/>
        <v>84.606750000000005</v>
      </c>
      <c r="J79" s="21">
        <f t="shared" si="65"/>
        <v>3308.1239250000003</v>
      </c>
      <c r="K79" s="135">
        <f>IF(AND(C79=2,C78="P"),T!$I$16,IF(AND(C79=4,C78="P"),T!$I$17,IF(AND(C79=6,C78="P"),T!$I$18,IF(AND(C79=8,C78="P"),T!$I$19,IF(AND(C79=10,C78="P"),T!$I$20,IF(AND(C79=12,C78="P"),T!$I$21,0))))))</f>
        <v>0</v>
      </c>
      <c r="L79" s="135">
        <f>IF(AND(C79=2,C78="L"),T!$J$16,IF(AND(C79=4,C78="L"),T!$J$17,IF(AND(C79=6,C78="L"),T!$J$18,IF(AND(C79=8,C78="L"),T!$J$19,IF(AND(C79=10,C78="L"),T!$J$20,IF(AND(C79=12,C78="L"),T!$J$21,0))))))</f>
        <v>43.36</v>
      </c>
      <c r="M79" s="135">
        <f>IF(AND(C79=2,C78="M"),T!$K$16,IF(AND(C79=4,C78="M"),T!$K$17,IF(AND(C79=6,C78="M"),T!$K$18,IF(AND(C79=8,C78="M"),T!$K$19,IF(AND(C79=10,C78="M"),T!$K$20,IF(AND(C79=12,C78="M"),T!$K$21,0))))))</f>
        <v>0</v>
      </c>
      <c r="O79" s="153">
        <f t="shared" si="57"/>
        <v>43.36</v>
      </c>
      <c r="P79" s="7">
        <f t="shared" si="58"/>
        <v>3246.3099630996312</v>
      </c>
      <c r="Q79" s="7">
        <f t="shared" si="59"/>
        <v>274659.73547047976</v>
      </c>
      <c r="R79" s="153">
        <f t="shared" si="60"/>
        <v>38452.362965867142</v>
      </c>
      <c r="S79" s="20">
        <f t="shared" si="66"/>
        <v>1396.2482500000001</v>
      </c>
      <c r="T79" s="22">
        <f t="shared" ca="1" si="61"/>
        <v>7267.8380840743375</v>
      </c>
    </row>
    <row r="80" spans="2:20" x14ac:dyDescent="0.25">
      <c r="B80" s="107" t="str">
        <f t="shared" si="67"/>
        <v>Descripción</v>
      </c>
      <c r="C80" s="104" t="str">
        <f>MCI!H22</f>
        <v>Acambay - Jilotepec (40D)</v>
      </c>
      <c r="E80" s="153" t="str">
        <f t="shared" si="62"/>
        <v xml:space="preserve"> T3S2R4</v>
      </c>
      <c r="F80" s="27">
        <f t="shared" si="56"/>
        <v>1.0166666666666666E-2</v>
      </c>
      <c r="G80" s="121">
        <f t="shared" si="56"/>
        <v>1.0900000000000001</v>
      </c>
      <c r="H80" s="121">
        <f t="shared" si="63"/>
        <v>9.000000000000008E-2</v>
      </c>
      <c r="I80" s="153">
        <f t="shared" si="64"/>
        <v>55.494749999999996</v>
      </c>
      <c r="J80" s="21">
        <f t="shared" si="65"/>
        <v>2169.8447249999995</v>
      </c>
      <c r="K80" s="135">
        <f>IF(AND(C79=2,C78="P"),T!$I$6,IF(AND(C79=4,C78="P"),T!$I$7,IF(AND(C79=6,C78="P"),T!$I$8,IF(AND(C79=8,C78="P"),T!$I$9,IF(AND(C79=10,C78="P"),T!$I$10,IF(AND(C79=12,C78="P"),T!$I$11,0))))))</f>
        <v>0</v>
      </c>
      <c r="L80" s="135">
        <f>IF(AND(C79=2,C78="L"),T!$J$6,IF(AND(C79=4,C78="L"),T!$J$7,IF(AND(C79=6,C78="L"),T!$J$8,IF(AND(C79=8,C78="L"),T!$J$9,IF(AND(C79=10,C78="L"),T!$J$10,IF(AND(C79=12,C78="L"),T!$J$11,0))))))</f>
        <v>34</v>
      </c>
      <c r="M80" s="135">
        <f>IF(AND(C79=2,C78="M"),T!$K$6,IF(AND(C79=4,C78="M"),T!$K$7,IF(AND(C79=6,C78="M"),T!$K$8,IF(AND(C79=8,C78="M"),T!$K$9,IF(AND(C79=10,C78="M"),T!$K$10,IF(AND(C79=12,C78="M"),T!$K$11,0))))))</f>
        <v>0</v>
      </c>
      <c r="O80" s="153">
        <f t="shared" si="57"/>
        <v>34</v>
      </c>
      <c r="P80" s="7">
        <f t="shared" si="58"/>
        <v>4140</v>
      </c>
      <c r="Q80" s="7">
        <f t="shared" si="59"/>
        <v>229748.26499999998</v>
      </c>
      <c r="R80" s="153">
        <f t="shared" si="60"/>
        <v>20677.343850000016</v>
      </c>
      <c r="S80" s="20">
        <f t="shared" si="66"/>
        <v>1535.873075</v>
      </c>
      <c r="T80" s="22">
        <f t="shared" ca="1" si="61"/>
        <v>5243.7842520579334</v>
      </c>
    </row>
    <row r="81" spans="2:20" x14ac:dyDescent="0.25">
      <c r="B81" s="107" t="str">
        <f t="shared" si="67"/>
        <v>TDPARP (vpd)</v>
      </c>
      <c r="C81" s="121">
        <f>C68</f>
        <v>5458.5</v>
      </c>
      <c r="E81" s="153" t="str">
        <f t="shared" si="62"/>
        <v xml:space="preserve"> OTROS</v>
      </c>
      <c r="F81" s="27">
        <f t="shared" si="56"/>
        <v>3.0000000000000768E-3</v>
      </c>
      <c r="G81" s="121">
        <f t="shared" si="56"/>
        <v>1.0900000000000001</v>
      </c>
      <c r="H81" s="121">
        <f t="shared" si="63"/>
        <v>9.000000000000008E-2</v>
      </c>
      <c r="I81" s="153">
        <f>F81*$C$81</f>
        <v>16.375500000000418</v>
      </c>
      <c r="J81" s="21">
        <f t="shared" si="65"/>
        <v>640.2820500000164</v>
      </c>
      <c r="K81" s="153"/>
      <c r="L81" s="153"/>
      <c r="M81" s="153"/>
      <c r="O81" s="140">
        <f>AVERAGE(O74:O80)</f>
        <v>50.795714285714283</v>
      </c>
      <c r="P81" s="7">
        <f t="shared" si="58"/>
        <v>2771.0999240655851</v>
      </c>
      <c r="Q81" s="7">
        <f t="shared" si="59"/>
        <v>45378.146806537145</v>
      </c>
      <c r="R81" s="153">
        <f t="shared" si="60"/>
        <v>4084.0332125883465</v>
      </c>
      <c r="S81" s="20">
        <f t="shared" si="66"/>
        <v>802.86334999999997</v>
      </c>
      <c r="T81" s="22">
        <f t="shared" ca="1" si="61"/>
        <v>808.86080502092807</v>
      </c>
    </row>
    <row r="82" spans="2:20" x14ac:dyDescent="0.25">
      <c r="E82" s="19"/>
      <c r="F82" s="43"/>
      <c r="G82" s="43"/>
      <c r="H82" s="43"/>
      <c r="I82" s="19"/>
      <c r="J82" s="44"/>
      <c r="Q82" s="82" t="s">
        <v>17</v>
      </c>
      <c r="R82" s="153">
        <f>SUM(R74:R81)</f>
        <v>17485907.012256335</v>
      </c>
      <c r="S82" s="82" t="s">
        <v>17</v>
      </c>
      <c r="T82" s="23">
        <f ca="1">SUM(T74:T81)</f>
        <v>100643.0321684513</v>
      </c>
    </row>
    <row r="84" spans="2:20" x14ac:dyDescent="0.25">
      <c r="E84" s="153" t="s">
        <v>19</v>
      </c>
      <c r="F84" s="82" t="s">
        <v>24</v>
      </c>
      <c r="G84" s="82" t="s">
        <v>41</v>
      </c>
      <c r="H84" s="82" t="s">
        <v>290</v>
      </c>
      <c r="I84" s="82" t="s">
        <v>20</v>
      </c>
      <c r="J84" s="154" t="s">
        <v>36</v>
      </c>
      <c r="K84" s="153"/>
      <c r="L84" s="153"/>
      <c r="M84" s="153"/>
      <c r="O84" s="154" t="s">
        <v>21</v>
      </c>
      <c r="P84" s="82" t="s">
        <v>292</v>
      </c>
      <c r="Q84" s="82" t="s">
        <v>77</v>
      </c>
      <c r="R84" s="82" t="s">
        <v>42</v>
      </c>
      <c r="S84" s="82" t="s">
        <v>50</v>
      </c>
      <c r="T84" s="82" t="s">
        <v>31</v>
      </c>
    </row>
    <row r="85" spans="2:20" x14ac:dyDescent="0.25">
      <c r="E85" s="352" t="s">
        <v>1</v>
      </c>
      <c r="F85" s="153" t="s">
        <v>6</v>
      </c>
      <c r="G85" s="142" t="str">
        <f>G72</f>
        <v>(persona/veh)</v>
      </c>
      <c r="H85" s="142" t="str">
        <f>G85</f>
        <v>(persona/veh)</v>
      </c>
      <c r="I85" s="153" t="s">
        <v>7</v>
      </c>
      <c r="J85" s="153" t="s">
        <v>142</v>
      </c>
      <c r="K85" s="153"/>
      <c r="L85" s="153"/>
      <c r="M85" s="153"/>
      <c r="O85" s="153" t="s">
        <v>8</v>
      </c>
      <c r="P85" s="153" t="s">
        <v>11</v>
      </c>
      <c r="Q85" s="153" t="s">
        <v>287</v>
      </c>
      <c r="R85" s="153" t="s">
        <v>9</v>
      </c>
      <c r="S85" s="153" t="s">
        <v>45</v>
      </c>
      <c r="T85" s="153" t="s">
        <v>46</v>
      </c>
    </row>
    <row r="86" spans="2:20" ht="75" x14ac:dyDescent="0.25">
      <c r="E86" s="352"/>
      <c r="F86" s="152" t="s">
        <v>5</v>
      </c>
      <c r="G86" s="152" t="s">
        <v>112</v>
      </c>
      <c r="H86" s="152" t="s">
        <v>289</v>
      </c>
      <c r="I86" s="152" t="s">
        <v>3</v>
      </c>
      <c r="J86" s="152" t="s">
        <v>143</v>
      </c>
      <c r="K86" s="153"/>
      <c r="L86" s="153"/>
      <c r="M86" s="153"/>
      <c r="O86" s="152" t="s">
        <v>4</v>
      </c>
      <c r="P86" s="152" t="s">
        <v>10</v>
      </c>
      <c r="Q86" s="152" t="s">
        <v>288</v>
      </c>
      <c r="R86" s="152" t="s">
        <v>12</v>
      </c>
      <c r="S86" s="152" t="s">
        <v>44</v>
      </c>
      <c r="T86" s="152" t="s">
        <v>51</v>
      </c>
    </row>
    <row r="87" spans="2:20" x14ac:dyDescent="0.25">
      <c r="E87" s="153" t="str">
        <f>E74</f>
        <v>A</v>
      </c>
      <c r="F87" s="27">
        <f t="shared" ref="F87:G94" si="68">F74</f>
        <v>0.79800000000000004</v>
      </c>
      <c r="G87" s="121">
        <f>G74</f>
        <v>2.2799999999999998</v>
      </c>
      <c r="H87" s="121">
        <f>G87-1</f>
        <v>1.2799999999999998</v>
      </c>
      <c r="I87" s="153">
        <f>F87*$C$94</f>
        <v>4355.8829999999998</v>
      </c>
      <c r="J87" s="21">
        <f>I87*$C$90/1000</f>
        <v>292715.33759999997</v>
      </c>
      <c r="K87" s="135">
        <f>IF(AND(C92=2,C91="P"),T!$I$66,IF(AND(C92=4,C91="P"),T!$I$67,IF(AND(C92=6,C91="P"),T!$I$68,IF(AND(C92=8,C91="P"),T!$I$69,IF(AND(C92=10,C91="P"),T!$I$70,IF(AND(C92=12,C91="P"),T!$I$71,0))))))</f>
        <v>0</v>
      </c>
      <c r="L87" s="135">
        <f>IF(AND(C92=2,C91="L"),T!$J$66,IF(AND(C92=4,C91="L"),T!$J$67,IF(AND(C92=6,C91="L"),T!$J$68,IF(AND(C92=8,C91="L"),T!$J$69,IF(AND(C92=10,C91="L"),T!$J$70,IF(AND(C92=12,C91="L"),T!$J$71,0))))))</f>
        <v>66.72</v>
      </c>
      <c r="M87" s="135">
        <f>IF(AND(C92=2,C91="M"),T!$K$66,IF(AND(C92=4,C91="M"),T!$K$67,IF(AND(C92=6,C91="M"),T!$K$68,IF(AND(C92=8,C91="M"),T!$K$69,IF(AND(C92=10,C91="M"),T!$K$70,IF(AND(C92=12,C91="M"),T!$K$71,0))))))</f>
        <v>0</v>
      </c>
      <c r="O87" s="153">
        <f t="shared" ref="O87:O93" si="69">SUM(K87:M87)</f>
        <v>66.72</v>
      </c>
      <c r="P87" s="7">
        <f t="shared" ref="P87:P94" si="70">C$90*3600/(O87*1000)</f>
        <v>3625.8992805755397</v>
      </c>
      <c r="Q87" s="7">
        <f t="shared" ref="Q87:Q94" si="71">P87*I87</f>
        <v>15793993.035971222</v>
      </c>
      <c r="R87" s="153">
        <f t="shared" ref="R87:R94" si="72">Q87*H87</f>
        <v>20216311.08604316</v>
      </c>
      <c r="S87" s="20">
        <f>S74</f>
        <v>206.89667499999999</v>
      </c>
      <c r="T87" s="22">
        <f t="shared" ref="T87:T94" ca="1" si="73">S87*J87*$F$3/1000000</f>
        <v>95292.741542179458</v>
      </c>
    </row>
    <row r="88" spans="2:20" x14ac:dyDescent="0.25">
      <c r="E88" s="153" t="str">
        <f t="shared" ref="E88:E94" si="74">E75</f>
        <v xml:space="preserve"> B</v>
      </c>
      <c r="F88" s="27">
        <f t="shared" si="68"/>
        <v>3.4000000000000002E-2</v>
      </c>
      <c r="G88" s="121">
        <f t="shared" si="68"/>
        <v>12.81</v>
      </c>
      <c r="H88" s="121">
        <f t="shared" ref="H88:H94" si="75">G88-1</f>
        <v>11.81</v>
      </c>
      <c r="I88" s="153">
        <f t="shared" ref="I88:I93" si="76">F88*$C$94</f>
        <v>185.58900000000003</v>
      </c>
      <c r="J88" s="21">
        <f t="shared" ref="J88:J94" si="77">I88*$C$90/1000</f>
        <v>12471.580800000003</v>
      </c>
      <c r="K88" s="135">
        <f>IF(AND(C92=2,C91="P"),T!$I$56,IF(AND(C92=4,C91="P"),T!$I$57,IF(AND(C92=6,C91="P"),T!$I$58,IF(AND(C92=8,C91="P"),T!$I$59,IF(AND(C92=10,C91="P"),T!$I$60,IF(AND(C92=12,C91="P"),T!$I$61,0))))))</f>
        <v>0</v>
      </c>
      <c r="L88" s="135">
        <f>IF(AND(C92=2,C91="L"),T!$J$56,IF(AND(C92=4,C91="L"),T!$J$57,IF(AND(C92=6,C91="L"),T!$J$58,IF(AND(C92=8,C91="L"),T!$J$59,IF(AND(C92=10,C91="L"),T!$J$60,IF(AND(C92=12,C91="L"),T!$J$61,0))))))</f>
        <v>62.78</v>
      </c>
      <c r="M88" s="135">
        <f>IF(AND(C92=2,C91="M"),T!$K$56,IF(AND(C92=4,C91="M"),T!$K$57,IF(AND(C92=6,C91="M"),T!$K$58,IF(AND(C92=8,C91="M"),T!$K$59,IF(AND(C92=10,C91="M"),T!$K$60,IF(AND(C92=12,C91="M"),T!$K$61,0))))))</f>
        <v>0</v>
      </c>
      <c r="O88" s="153">
        <f t="shared" si="69"/>
        <v>62.78</v>
      </c>
      <c r="P88" s="7">
        <f t="shared" si="70"/>
        <v>3853.4565148136348</v>
      </c>
      <c r="Q88" s="7">
        <f t="shared" si="71"/>
        <v>715159.14112774783</v>
      </c>
      <c r="R88" s="153">
        <f t="shared" si="72"/>
        <v>8446029.4567187019</v>
      </c>
      <c r="S88" s="20">
        <f t="shared" ref="S88:S94" si="78">S75</f>
        <v>426.38069999999999</v>
      </c>
      <c r="T88" s="22">
        <f t="shared" ca="1" si="73"/>
        <v>8367.1946891208809</v>
      </c>
    </row>
    <row r="89" spans="2:20" x14ac:dyDescent="0.25">
      <c r="B89" s="107" t="str">
        <f t="shared" ref="B89:B94" si="79">B76</f>
        <v>Tramo</v>
      </c>
      <c r="C89" s="153">
        <f>MCI!I21</f>
        <v>7</v>
      </c>
      <c r="E89" s="153" t="str">
        <f t="shared" si="74"/>
        <v>C2</v>
      </c>
      <c r="F89" s="27">
        <f t="shared" si="68"/>
        <v>7.0166666666666669E-2</v>
      </c>
      <c r="G89" s="121">
        <f t="shared" si="68"/>
        <v>1.37</v>
      </c>
      <c r="H89" s="121">
        <f t="shared" si="75"/>
        <v>0.37000000000000011</v>
      </c>
      <c r="I89" s="153">
        <f t="shared" si="76"/>
        <v>383.00475</v>
      </c>
      <c r="J89" s="21">
        <f t="shared" si="77"/>
        <v>25737.9192</v>
      </c>
      <c r="K89" s="135">
        <f>IF(AND(C92=2,C91="P"),T!$I$46,IF(AND(C92=4,C91="P"),T!$I$47,IF(AND(C92=6,C91="P"),T!$I$48,IF(AND(C92=8,C91="P"),T!$I$49,IF(AND(C92=10,C91="P"),T!$I$50,IF(AND(C92=12,C91="P"),T!$I$51,0))))))</f>
        <v>0</v>
      </c>
      <c r="L89" s="135">
        <f>IF(AND(C92=2,C91="L"),T!$J$46,IF(AND(C92=4,C91="L"),T!$J$47,IF(AND(C92=6,C91="L"),T!$J$48,IF(AND(C92=8,C91="L"),T!$J$49,IF(AND(C92=10,C91="L"),T!$J$50,IF(AND(C92=12,C91="L"),T!$J$51,0))))))</f>
        <v>54.69</v>
      </c>
      <c r="M89" s="135">
        <f>IF(AND(C92=2,C91="M"),T!$K$46,IF(AND(C92=4,C91="M"),T!$K$47,IF(AND(C92=6,C91="M"),T!$K$48,IF(AND(C92=8,C91="M"),T!$K$49,IF(AND(C92=10,C91="M"),T!$K$50,IF(AND(C92=12,C91="M"),T!$K$51,0))))))</f>
        <v>0</v>
      </c>
      <c r="O89" s="153">
        <f t="shared" si="69"/>
        <v>54.69</v>
      </c>
      <c r="P89" s="7">
        <f t="shared" si="70"/>
        <v>4423.4777838727368</v>
      </c>
      <c r="Q89" s="7">
        <f t="shared" si="71"/>
        <v>1694213.0027427317</v>
      </c>
      <c r="R89" s="153">
        <f t="shared" si="72"/>
        <v>626858.81101481093</v>
      </c>
      <c r="S89" s="20">
        <f t="shared" si="78"/>
        <v>298.98342500000001</v>
      </c>
      <c r="T89" s="22">
        <f t="shared" ca="1" si="73"/>
        <v>12108.249939776581</v>
      </c>
    </row>
    <row r="90" spans="2:20" x14ac:dyDescent="0.25">
      <c r="B90" s="107" t="str">
        <f t="shared" si="79"/>
        <v>Longitud (m)</v>
      </c>
      <c r="C90" s="76">
        <f>MCI!I23</f>
        <v>67200</v>
      </c>
      <c r="E90" s="153" t="str">
        <f t="shared" si="74"/>
        <v>C3</v>
      </c>
      <c r="F90" s="27">
        <f t="shared" si="68"/>
        <v>2.0833333333333332E-2</v>
      </c>
      <c r="G90" s="121">
        <f t="shared" si="68"/>
        <v>1.23</v>
      </c>
      <c r="H90" s="121">
        <f t="shared" si="75"/>
        <v>0.22999999999999998</v>
      </c>
      <c r="I90" s="153">
        <f t="shared" si="76"/>
        <v>113.71875</v>
      </c>
      <c r="J90" s="21">
        <f t="shared" si="77"/>
        <v>7641.9</v>
      </c>
      <c r="K90" s="135">
        <f>IF(AND(C92=2,C91="P"),T!$I$36,IF(AND(C92=4,C91="P"),T!$I$37,IF(AND(C92=6,C91="P"),T!$I$38,IF(AND(C92=8,C91="P"),T!$I$39,IF(AND(C92=10,C91="P"),T!$I$40,IF(AND(C92=12,C91="P"),T!$I$41,0))))))</f>
        <v>0</v>
      </c>
      <c r="L90" s="135">
        <f>IF(AND(C92=2,C91="L"),T!$J$36,IF(AND(C92=4,C91="L"),T!$J$37,IF(AND(C92=6,C91="L"),T!$J$38,IF(AND(C92=8,C91="L"),T!$J$39,IF(AND(C92=10,C91="L"),T!$J$40,IF(AND(C92=12,C91="L"),T!$J$41,0))))))</f>
        <v>46.88</v>
      </c>
      <c r="M90" s="135">
        <f>IF(AND(C92=2,C91="M"),T!$K$36,IF(AND(C92=4,C91="M"),T!$K$37,IF(AND(C92=6,C91="M"),T!$K$38,IF(AND(C92=8,C91="M"),T!$K$39,IF(AND(C92=10,C91="M"),T!$K$40,IF(AND(C92=12,C91="M"),T!$K$41,0))))))</f>
        <v>0</v>
      </c>
      <c r="O90" s="153">
        <f t="shared" si="69"/>
        <v>46.88</v>
      </c>
      <c r="P90" s="7">
        <f t="shared" si="70"/>
        <v>5160.4095563139936</v>
      </c>
      <c r="Q90" s="7">
        <f t="shared" si="71"/>
        <v>586835.324232082</v>
      </c>
      <c r="R90" s="153">
        <f t="shared" si="72"/>
        <v>134972.12457337885</v>
      </c>
      <c r="S90" s="20">
        <f t="shared" si="78"/>
        <v>924.03227500000003</v>
      </c>
      <c r="T90" s="22">
        <f t="shared" ca="1" si="73"/>
        <v>11110.902135967621</v>
      </c>
    </row>
    <row r="91" spans="2:20" x14ac:dyDescent="0.25">
      <c r="B91" s="107" t="str">
        <f t="shared" si="79"/>
        <v>Tipo de terreno</v>
      </c>
      <c r="C91" s="121" t="str">
        <f>IF(MCI!I24=LISTA!A2,"P",IF(MCI!I24=LISTA!A3,"L",IF(MCI!I24=LISTA!A4,"M",0)))</f>
        <v>L</v>
      </c>
      <c r="E91" s="153" t="str">
        <f t="shared" si="74"/>
        <v>T3S2</v>
      </c>
      <c r="F91" s="27">
        <f t="shared" si="68"/>
        <v>4.8333333333333339E-2</v>
      </c>
      <c r="G91" s="121">
        <f t="shared" si="68"/>
        <v>1.1399999999999999</v>
      </c>
      <c r="H91" s="121">
        <f t="shared" si="75"/>
        <v>0.1399999999999999</v>
      </c>
      <c r="I91" s="153">
        <f t="shared" si="76"/>
        <v>263.82750000000004</v>
      </c>
      <c r="J91" s="21">
        <f t="shared" si="77"/>
        <v>17729.208000000002</v>
      </c>
      <c r="K91" s="135">
        <f>IF(AND(C92=2,C91="P"),T!$I$26,IF(AND(C92=4,C91="P"),T!$I$27,IF(AND(C92=6,C91="P"),T!$I$28,IF(AND(C92=8,C91="P"),T!$I$29,IF(AND(C92=10,C91="P"),T!$I$30,IF(AND(C92=12,C91="P"),T!$I$31,0))))))</f>
        <v>0</v>
      </c>
      <c r="L91" s="135">
        <f>IF(AND(C92=2,C91="L"),T!$J$26,IF(AND(C92=4,C91="L"),T!$J$27,IF(AND(C92=6,C91="L"),T!$J$28,IF(AND(C92=8,C91="L"),T!$J$29,IF(AND(C92=10,C91="L"),T!$J$30,IF(AND(C92=12,C91="L"),T!$J$31,0))))))</f>
        <v>51.04</v>
      </c>
      <c r="M91" s="135">
        <f>IF(AND(C92=2,C91="M"),T!$K$26,IF(AND(C92=4,C91="M"),T!$K$27,IF(AND(C92=6,C91="M"),T!$K$28,IF(AND(C92=8,C91="M"),T!$K$29,IF(AND(C92=10,C91="M"),T!$K$30,IF(AND(C92=12,C91="M"),T!$K$31,0))))))</f>
        <v>0</v>
      </c>
      <c r="O91" s="153">
        <f t="shared" si="69"/>
        <v>51.04</v>
      </c>
      <c r="P91" s="7">
        <f t="shared" si="70"/>
        <v>4739.8119122257058</v>
      </c>
      <c r="Q91" s="7">
        <f t="shared" si="71"/>
        <v>1250492.7272727275</v>
      </c>
      <c r="R91" s="153">
        <f t="shared" si="72"/>
        <v>175068.98181818172</v>
      </c>
      <c r="S91" s="20">
        <f t="shared" si="78"/>
        <v>831.62905000000001</v>
      </c>
      <c r="T91" s="22">
        <f t="shared" ca="1" si="73"/>
        <v>23199.563729641715</v>
      </c>
    </row>
    <row r="92" spans="2:20" x14ac:dyDescent="0.25">
      <c r="B92" s="107" t="str">
        <f t="shared" si="79"/>
        <v>IIR</v>
      </c>
      <c r="C92" s="77">
        <f>MCI!I25</f>
        <v>2</v>
      </c>
      <c r="E92" s="153" t="str">
        <f t="shared" si="74"/>
        <v xml:space="preserve"> T3S3</v>
      </c>
      <c r="F92" s="27">
        <f t="shared" si="68"/>
        <v>1.55E-2</v>
      </c>
      <c r="G92" s="121">
        <f t="shared" si="68"/>
        <v>1.1399999999999999</v>
      </c>
      <c r="H92" s="121">
        <f t="shared" si="75"/>
        <v>0.1399999999999999</v>
      </c>
      <c r="I92" s="153">
        <f t="shared" si="76"/>
        <v>84.606750000000005</v>
      </c>
      <c r="J92" s="21">
        <f t="shared" si="77"/>
        <v>5685.5736000000006</v>
      </c>
      <c r="K92" s="135">
        <f>IF(AND(C92=2,C91="P"),T!$I$16,IF(AND(C92=4,C91="P"),T!$I$17,IF(AND(C92=6,C91="P"),T!$I$18,IF(AND(C92=8,C91="P"),T!$I$19,IF(AND(C92=10,C91="P"),T!$I$20,IF(AND(C92=12,C91="P"),T!$I$21,0))))))</f>
        <v>0</v>
      </c>
      <c r="L92" s="135">
        <f>IF(AND(C92=2,C91="L"),T!$J$16,IF(AND(C92=4,C91="L"),T!$J$17,IF(AND(C92=6,C91="L"),T!$J$18,IF(AND(C92=8,C91="L"),T!$J$19,IF(AND(C92=10,C91="L"),T!$J$20,IF(AND(C92=12,C91="L"),T!$J$21,0))))))</f>
        <v>44</v>
      </c>
      <c r="M92" s="135">
        <f>IF(AND(C92=2,C91="M"),T!$K$16,IF(AND(C92=4,C91="M"),T!$K$17,IF(AND(C92=6,C91="M"),T!$K$18,IF(AND(C92=8,C91="M"),T!$K$19,IF(AND(C92=10,C91="M"),T!$K$20,IF(AND(C92=12,C91="M"),T!$K$21,0))))))</f>
        <v>0</v>
      </c>
      <c r="O92" s="153">
        <f t="shared" si="69"/>
        <v>44</v>
      </c>
      <c r="P92" s="7">
        <f t="shared" si="70"/>
        <v>5498.181818181818</v>
      </c>
      <c r="Q92" s="7">
        <f t="shared" si="71"/>
        <v>465183.29454545456</v>
      </c>
      <c r="R92" s="153">
        <f t="shared" si="72"/>
        <v>65125.661236363594</v>
      </c>
      <c r="S92" s="20">
        <f t="shared" si="78"/>
        <v>1396.2482500000001</v>
      </c>
      <c r="T92" s="22">
        <f t="shared" ca="1" si="73"/>
        <v>12491.015837590679</v>
      </c>
    </row>
    <row r="93" spans="2:20" x14ac:dyDescent="0.25">
      <c r="B93" s="107" t="str">
        <f t="shared" si="79"/>
        <v>Descripción</v>
      </c>
      <c r="C93" s="104" t="str">
        <f>MCI!I22</f>
        <v>Jilotepec - Palmillas (57D)</v>
      </c>
      <c r="E93" s="153" t="str">
        <f t="shared" si="74"/>
        <v xml:space="preserve"> T3S2R4</v>
      </c>
      <c r="F93" s="27">
        <f t="shared" si="68"/>
        <v>1.0166666666666666E-2</v>
      </c>
      <c r="G93" s="121">
        <f t="shared" si="68"/>
        <v>1.0900000000000001</v>
      </c>
      <c r="H93" s="121">
        <f t="shared" si="75"/>
        <v>9.000000000000008E-2</v>
      </c>
      <c r="I93" s="153">
        <f t="shared" si="76"/>
        <v>55.494749999999996</v>
      </c>
      <c r="J93" s="21">
        <f t="shared" si="77"/>
        <v>3729.2471999999998</v>
      </c>
      <c r="K93" s="135">
        <f>IF(AND(C92=2,C91="P"),T!$I$6,IF(AND(C92=4,C91="P"),T!$I$7,IF(AND(C92=6,C91="P"),T!$I$8,IF(AND(C92=8,C91="P"),T!$I$9,IF(AND(C92=10,C91="P"),T!$I$10,IF(AND(C92=12,C91="P"),T!$I$11,0))))))</f>
        <v>0</v>
      </c>
      <c r="L93" s="135">
        <f>IF(AND(C92=2,C91="L"),T!$J$6,IF(AND(C92=4,C91="L"),T!$J$7,IF(AND(C92=6,C91="L"),T!$J$8,IF(AND(C92=8,C91="L"),T!$J$9,IF(AND(C92=10,C91="L"),T!$J$10,IF(AND(C92=12,C91="L"),T!$J$11,0))))))</f>
        <v>34.42</v>
      </c>
      <c r="M93" s="135">
        <f>IF(AND(C92=2,C91="M"),T!$K$6,IF(AND(C92=4,C91="M"),T!$K$7,IF(AND(C92=6,C91="M"),T!$K$8,IF(AND(C92=8,C91="M"),T!$K$9,IF(AND(C92=10,C91="M"),T!$K$10,IF(AND(C92=12,C91="M"),T!$K$11,0))))))</f>
        <v>0</v>
      </c>
      <c r="O93" s="153">
        <f t="shared" si="69"/>
        <v>34.42</v>
      </c>
      <c r="P93" s="7">
        <f t="shared" si="70"/>
        <v>7028.4718187100525</v>
      </c>
      <c r="Q93" s="7">
        <f t="shared" si="71"/>
        <v>390043.28646135965</v>
      </c>
      <c r="R93" s="153">
        <f t="shared" si="72"/>
        <v>35103.895781522398</v>
      </c>
      <c r="S93" s="20">
        <f t="shared" si="78"/>
        <v>1535.873075</v>
      </c>
      <c r="T93" s="22">
        <f t="shared" ca="1" si="73"/>
        <v>9012.3350828207986</v>
      </c>
    </row>
    <row r="94" spans="2:20" x14ac:dyDescent="0.25">
      <c r="B94" s="107" t="str">
        <f t="shared" si="79"/>
        <v>TDPARP (vpd)</v>
      </c>
      <c r="C94" s="121">
        <f>C81</f>
        <v>5458.5</v>
      </c>
      <c r="E94" s="153" t="str">
        <f t="shared" si="74"/>
        <v xml:space="preserve"> OTROS</v>
      </c>
      <c r="F94" s="27">
        <f t="shared" si="68"/>
        <v>3.0000000000000768E-3</v>
      </c>
      <c r="G94" s="121">
        <f t="shared" si="68"/>
        <v>1.0900000000000001</v>
      </c>
      <c r="H94" s="121">
        <f t="shared" si="75"/>
        <v>9.000000000000008E-2</v>
      </c>
      <c r="I94" s="153">
        <f>F94*$C$94</f>
        <v>16.375500000000418</v>
      </c>
      <c r="J94" s="21">
        <f t="shared" si="77"/>
        <v>1100.433600000028</v>
      </c>
      <c r="K94" s="153"/>
      <c r="L94" s="153"/>
      <c r="M94" s="153"/>
      <c r="O94" s="140">
        <f>AVERAGE(O87:O93)</f>
        <v>51.504285714285722</v>
      </c>
      <c r="P94" s="7">
        <f t="shared" si="70"/>
        <v>4697.0848473081287</v>
      </c>
      <c r="Q94" s="7">
        <f t="shared" si="71"/>
        <v>76917.112917096223</v>
      </c>
      <c r="R94" s="153">
        <f t="shared" si="72"/>
        <v>6922.5401625386667</v>
      </c>
      <c r="S94" s="20">
        <f t="shared" si="78"/>
        <v>802.86334999999997</v>
      </c>
      <c r="T94" s="22">
        <f t="shared" ca="1" si="73"/>
        <v>1390.1648618262495</v>
      </c>
    </row>
    <row r="95" spans="2:20" x14ac:dyDescent="0.25">
      <c r="E95" s="19"/>
      <c r="F95" s="43"/>
      <c r="G95" s="43"/>
      <c r="H95" s="43"/>
      <c r="I95" s="19"/>
      <c r="J95" s="44"/>
      <c r="Q95" s="82" t="s">
        <v>17</v>
      </c>
      <c r="R95" s="153">
        <f>SUM(R87:R94)</f>
        <v>29706392.557348657</v>
      </c>
      <c r="S95" s="82" t="s">
        <v>17</v>
      </c>
      <c r="T95" s="23">
        <f ca="1">SUM(T87:T94)</f>
        <v>172972.16781892398</v>
      </c>
    </row>
    <row r="97" spans="5:16" x14ac:dyDescent="0.25">
      <c r="E97" s="8" t="s">
        <v>293</v>
      </c>
    </row>
    <row r="99" spans="5:16" x14ac:dyDescent="0.25">
      <c r="E99" s="178" t="s">
        <v>141</v>
      </c>
      <c r="F99" s="82">
        <v>1</v>
      </c>
      <c r="G99" s="82">
        <v>2</v>
      </c>
      <c r="H99" s="82">
        <v>3</v>
      </c>
      <c r="I99" s="82">
        <v>4</v>
      </c>
      <c r="J99" s="82">
        <v>5</v>
      </c>
      <c r="O99" s="82">
        <v>6</v>
      </c>
      <c r="P99" s="82">
        <v>7</v>
      </c>
    </row>
    <row r="100" spans="5:16" x14ac:dyDescent="0.25">
      <c r="E100" s="178" t="s">
        <v>170</v>
      </c>
      <c r="F100" s="162" t="str">
        <f>C15</f>
        <v>Toluca - Atlacomulco (57)</v>
      </c>
      <c r="G100" s="162" t="str">
        <f>C28</f>
        <v>Atlacomulco - Acambay (57)</v>
      </c>
      <c r="H100" s="162" t="str">
        <f>C41</f>
        <v>Atlacomulco - Acambay (40D)</v>
      </c>
      <c r="I100" s="162" t="str">
        <f>C54</f>
        <v>Acambay - Palmillas (57)</v>
      </c>
      <c r="J100" s="162" t="str">
        <f>C67</f>
        <v>Toluca - Jilotepec (57)</v>
      </c>
      <c r="K100" s="163"/>
      <c r="L100" s="163"/>
      <c r="M100" s="163"/>
      <c r="N100" s="163"/>
      <c r="O100" s="162" t="str">
        <f>C80</f>
        <v>Acambay - Jilotepec (40D)</v>
      </c>
      <c r="P100" s="162" t="str">
        <f>C93</f>
        <v>Jilotepec - Palmillas (57D)</v>
      </c>
    </row>
    <row r="101" spans="5:16" x14ac:dyDescent="0.25">
      <c r="E101" s="178" t="s">
        <v>236</v>
      </c>
      <c r="F101" s="143">
        <f>MCI!C23</f>
        <v>45400</v>
      </c>
      <c r="G101" s="143">
        <f>MCI!D23</f>
        <v>23300</v>
      </c>
      <c r="H101" s="143">
        <f>MCI!E23</f>
        <v>23300</v>
      </c>
      <c r="I101" s="143">
        <f>MCI!F23</f>
        <v>53900</v>
      </c>
      <c r="J101" s="143">
        <f>MCI!G23</f>
        <v>83100</v>
      </c>
      <c r="K101" s="144"/>
      <c r="L101" s="144"/>
      <c r="M101" s="144"/>
      <c r="N101" s="144"/>
      <c r="O101" s="143">
        <f>MCI!H23</f>
        <v>39100</v>
      </c>
      <c r="P101" s="143">
        <f>MCI!I23</f>
        <v>67200</v>
      </c>
    </row>
    <row r="102" spans="5:16" x14ac:dyDescent="0.25">
      <c r="E102" s="176" t="s">
        <v>305</v>
      </c>
      <c r="F102" s="159">
        <f>P9*60/3600</f>
        <v>41.310282074613283</v>
      </c>
      <c r="G102" s="159">
        <f>P22*60/3600</f>
        <v>27.541371158392433</v>
      </c>
      <c r="H102" s="159">
        <f>P35*60/3600</f>
        <v>27.166731441896619</v>
      </c>
      <c r="I102" s="159">
        <f>P48*60/3600</f>
        <v>62.844928099494751</v>
      </c>
      <c r="J102" s="159">
        <f>P61*60/3600</f>
        <v>81.871921182266007</v>
      </c>
      <c r="K102" s="160"/>
      <c r="L102" s="160"/>
      <c r="M102" s="160"/>
      <c r="N102" s="159"/>
      <c r="O102" s="159">
        <f>P74*60/3600</f>
        <v>35.577797998180159</v>
      </c>
      <c r="P102" s="159">
        <f>P87*60/3600</f>
        <v>60.431654676258994</v>
      </c>
    </row>
    <row r="103" spans="5:16" x14ac:dyDescent="0.25">
      <c r="E103" s="178" t="s">
        <v>110</v>
      </c>
      <c r="F103" s="143" t="str">
        <f>MCI!C24</f>
        <v>Lomerío</v>
      </c>
      <c r="G103" s="143" t="str">
        <f>MCI!D24</f>
        <v>Montañoso</v>
      </c>
      <c r="H103" s="143" t="str">
        <f>MCI!E24</f>
        <v>Montañoso</v>
      </c>
      <c r="I103" s="143" t="str">
        <f>MCI!F24</f>
        <v>Montañoso</v>
      </c>
      <c r="J103" s="143" t="str">
        <f>MCI!G24</f>
        <v>Lomerío</v>
      </c>
      <c r="K103" s="144"/>
      <c r="L103" s="144"/>
      <c r="M103" s="144"/>
      <c r="N103" s="144"/>
      <c r="O103" s="143" t="str">
        <f>MCI!H24</f>
        <v>Lomerío</v>
      </c>
      <c r="P103" s="143" t="str">
        <f>MCI!I24</f>
        <v>Lomerío</v>
      </c>
    </row>
    <row r="104" spans="5:16" x14ac:dyDescent="0.25">
      <c r="E104" s="178" t="s">
        <v>125</v>
      </c>
      <c r="F104" s="143">
        <f>MCI!C25</f>
        <v>4</v>
      </c>
      <c r="G104" s="143">
        <f>MCI!D25</f>
        <v>6</v>
      </c>
      <c r="H104" s="143">
        <f>MCI!E25</f>
        <v>4</v>
      </c>
      <c r="I104" s="143">
        <f>MCI!F25</f>
        <v>4</v>
      </c>
      <c r="J104" s="143">
        <f>MCI!G25</f>
        <v>8</v>
      </c>
      <c r="K104" s="144"/>
      <c r="L104" s="144"/>
      <c r="M104" s="144"/>
      <c r="N104" s="144"/>
      <c r="O104" s="143">
        <f>MCI!H25</f>
        <v>4</v>
      </c>
      <c r="P104" s="143">
        <f>MCI!I25</f>
        <v>2</v>
      </c>
    </row>
    <row r="105" spans="5:16" x14ac:dyDescent="0.25">
      <c r="E105" s="178" t="s">
        <v>31</v>
      </c>
      <c r="F105" s="177">
        <f ca="1">T17</f>
        <v>116859.17290147542</v>
      </c>
      <c r="G105" s="177">
        <f ca="1">T30</f>
        <v>59973.980806263826</v>
      </c>
      <c r="H105" s="177">
        <f ca="1">T43</f>
        <v>59973.980806263826</v>
      </c>
      <c r="I105" s="177">
        <f ca="1">T56</f>
        <v>138738.0929380953</v>
      </c>
      <c r="J105" s="177">
        <f ca="1">T69</f>
        <v>213898.6182403659</v>
      </c>
      <c r="K105" s="146"/>
      <c r="L105" s="146"/>
      <c r="M105" s="146"/>
      <c r="N105" s="146"/>
      <c r="O105" s="177">
        <f ca="1">T82</f>
        <v>100643.0321684513</v>
      </c>
      <c r="P105" s="177">
        <f ca="1">T95</f>
        <v>172972.16781892398</v>
      </c>
    </row>
    <row r="106" spans="5:16" x14ac:dyDescent="0.25">
      <c r="E106" s="26" t="s">
        <v>76</v>
      </c>
      <c r="F106" s="55" t="s">
        <v>303</v>
      </c>
      <c r="G106" s="149"/>
      <c r="H106" s="149"/>
      <c r="I106" s="161"/>
      <c r="J106" s="161"/>
      <c r="K106" s="158"/>
      <c r="L106" s="158"/>
      <c r="M106" s="158"/>
      <c r="N106" s="161"/>
      <c r="O106" s="161"/>
      <c r="P106" s="161"/>
    </row>
    <row r="107" spans="5:16" x14ac:dyDescent="0.25">
      <c r="E107" s="18"/>
      <c r="K107" s="90"/>
      <c r="L107" s="90"/>
      <c r="M107" s="90"/>
    </row>
    <row r="108" spans="5:16" x14ac:dyDescent="0.25">
      <c r="E108" s="8" t="s">
        <v>294</v>
      </c>
      <c r="F108" s="88"/>
      <c r="G108" s="88"/>
      <c r="H108" s="88"/>
      <c r="I108" s="88"/>
      <c r="J108" s="88"/>
      <c r="K108" s="88"/>
      <c r="L108" s="88"/>
      <c r="M108" s="88"/>
    </row>
    <row r="109" spans="5:16" x14ac:dyDescent="0.25">
      <c r="E109" s="8"/>
      <c r="F109" s="88"/>
      <c r="G109" s="88"/>
      <c r="H109" s="88"/>
      <c r="I109" s="88"/>
      <c r="J109" s="88"/>
      <c r="K109" s="88"/>
      <c r="L109" s="88"/>
      <c r="M109" s="88"/>
    </row>
    <row r="110" spans="5:16" x14ac:dyDescent="0.25">
      <c r="E110" s="346" t="s">
        <v>286</v>
      </c>
      <c r="F110" s="343" t="s">
        <v>69</v>
      </c>
      <c r="G110" s="343" t="s">
        <v>237</v>
      </c>
      <c r="H110" s="343" t="s">
        <v>28</v>
      </c>
      <c r="I110" s="343" t="s">
        <v>238</v>
      </c>
      <c r="J110" s="114" t="s">
        <v>273</v>
      </c>
      <c r="K110" s="81"/>
      <c r="L110" s="81"/>
      <c r="M110" s="81"/>
      <c r="N110" s="153"/>
    </row>
    <row r="111" spans="5:16" x14ac:dyDescent="0.25">
      <c r="E111" s="347"/>
      <c r="F111" s="344"/>
      <c r="G111" s="344"/>
      <c r="H111" s="344"/>
      <c r="I111" s="344"/>
      <c r="J111" s="153" t="s">
        <v>142</v>
      </c>
      <c r="K111" s="34" t="s">
        <v>22</v>
      </c>
      <c r="L111" s="34" t="s">
        <v>23</v>
      </c>
      <c r="M111" s="34" t="s">
        <v>257</v>
      </c>
      <c r="N111" s="34" t="s">
        <v>258</v>
      </c>
    </row>
    <row r="112" spans="5:16" x14ac:dyDescent="0.25">
      <c r="E112" s="78" t="s">
        <v>239</v>
      </c>
      <c r="F112" s="21">
        <f>MCI!C31</f>
        <v>1</v>
      </c>
      <c r="G112" s="21">
        <f>MCI!D31</f>
        <v>2</v>
      </c>
      <c r="H112" s="21">
        <f>MCI!E31</f>
        <v>4</v>
      </c>
      <c r="I112" s="21" t="str">
        <f>MCI!F31</f>
        <v>N/A</v>
      </c>
      <c r="J112" s="153">
        <f t="shared" ref="J112:J117" si="80">SUM(K112:N112)/1000</f>
        <v>122.6</v>
      </c>
      <c r="K112" s="135">
        <f t="shared" ref="K112:N117" si="81">IF(F112=$F$99,$F$101,IF(F112=$G$99,$G$101,IF(F112=$H$99,$H$101,IF(F112=$I$99,$I$101,IF(F112=$J$99,$J$101,IF(F112=$O$99,$O$101,IF(F112=$P$99,$P$101,0)))))))</f>
        <v>45400</v>
      </c>
      <c r="L112" s="141">
        <f t="shared" si="81"/>
        <v>23300</v>
      </c>
      <c r="M112" s="141">
        <f t="shared" si="81"/>
        <v>53900</v>
      </c>
      <c r="N112" s="141">
        <f t="shared" si="81"/>
        <v>0</v>
      </c>
    </row>
    <row r="113" spans="2:18" x14ac:dyDescent="0.25">
      <c r="E113" s="78" t="s">
        <v>241</v>
      </c>
      <c r="F113" s="21">
        <f>MCI!C32</f>
        <v>1</v>
      </c>
      <c r="G113" s="21">
        <f>MCI!D32</f>
        <v>2</v>
      </c>
      <c r="H113" s="21">
        <f>MCI!E32</f>
        <v>6</v>
      </c>
      <c r="I113" s="21">
        <f>MCI!F32</f>
        <v>7</v>
      </c>
      <c r="J113" s="153">
        <f t="shared" si="80"/>
        <v>175</v>
      </c>
      <c r="K113" s="135">
        <f t="shared" si="81"/>
        <v>45400</v>
      </c>
      <c r="L113" s="141">
        <f t="shared" si="81"/>
        <v>23300</v>
      </c>
      <c r="M113" s="141">
        <f t="shared" si="81"/>
        <v>39100</v>
      </c>
      <c r="N113" s="141">
        <f t="shared" si="81"/>
        <v>67200</v>
      </c>
    </row>
    <row r="114" spans="2:18" x14ac:dyDescent="0.25">
      <c r="E114" s="78" t="s">
        <v>240</v>
      </c>
      <c r="F114" s="21">
        <f>MCI!C33</f>
        <v>1</v>
      </c>
      <c r="G114" s="21">
        <f>MCI!D33</f>
        <v>3</v>
      </c>
      <c r="H114" s="21">
        <f>MCI!E33</f>
        <v>4</v>
      </c>
      <c r="I114" s="21" t="str">
        <f>MCI!F33</f>
        <v>N/A</v>
      </c>
      <c r="J114" s="153">
        <f t="shared" si="80"/>
        <v>122.6</v>
      </c>
      <c r="K114" s="135">
        <f t="shared" si="81"/>
        <v>45400</v>
      </c>
      <c r="L114" s="141">
        <f t="shared" si="81"/>
        <v>23300</v>
      </c>
      <c r="M114" s="141">
        <f t="shared" si="81"/>
        <v>53900</v>
      </c>
      <c r="N114" s="141">
        <f t="shared" si="81"/>
        <v>0</v>
      </c>
    </row>
    <row r="115" spans="2:18" x14ac:dyDescent="0.25">
      <c r="E115" s="78" t="s">
        <v>242</v>
      </c>
      <c r="F115" s="21">
        <f>MCI!C34</f>
        <v>1</v>
      </c>
      <c r="G115" s="21">
        <f>MCI!D34</f>
        <v>3</v>
      </c>
      <c r="H115" s="21">
        <f>MCI!E34</f>
        <v>6</v>
      </c>
      <c r="I115" s="21">
        <f>MCI!F34</f>
        <v>7</v>
      </c>
      <c r="J115" s="153">
        <f t="shared" si="80"/>
        <v>175</v>
      </c>
      <c r="K115" s="135">
        <f t="shared" si="81"/>
        <v>45400</v>
      </c>
      <c r="L115" s="141">
        <f t="shared" si="81"/>
        <v>23300</v>
      </c>
      <c r="M115" s="141">
        <f t="shared" si="81"/>
        <v>39100</v>
      </c>
      <c r="N115" s="141">
        <f t="shared" si="81"/>
        <v>67200</v>
      </c>
    </row>
    <row r="116" spans="2:18" x14ac:dyDescent="0.25">
      <c r="E116" s="78" t="s">
        <v>243</v>
      </c>
      <c r="F116" s="21">
        <f>MCI!C35</f>
        <v>5</v>
      </c>
      <c r="G116" s="21">
        <f>MCI!D35</f>
        <v>6</v>
      </c>
      <c r="H116" s="21">
        <f>MCI!E35</f>
        <v>4</v>
      </c>
      <c r="I116" s="21" t="str">
        <f>MCI!F35</f>
        <v>N/A</v>
      </c>
      <c r="J116" s="153">
        <f t="shared" si="80"/>
        <v>176.1</v>
      </c>
      <c r="K116" s="135">
        <f t="shared" si="81"/>
        <v>83100</v>
      </c>
      <c r="L116" s="141">
        <f t="shared" si="81"/>
        <v>39100</v>
      </c>
      <c r="M116" s="141">
        <f t="shared" si="81"/>
        <v>53900</v>
      </c>
      <c r="N116" s="141">
        <f t="shared" si="81"/>
        <v>0</v>
      </c>
    </row>
    <row r="117" spans="2:18" x14ac:dyDescent="0.25">
      <c r="E117" s="78" t="s">
        <v>244</v>
      </c>
      <c r="F117" s="21">
        <f>MCI!C36</f>
        <v>5</v>
      </c>
      <c r="G117" s="21">
        <f>MCI!D36</f>
        <v>7</v>
      </c>
      <c r="H117" s="21" t="str">
        <f>MCI!E36</f>
        <v>N/A</v>
      </c>
      <c r="I117" s="21" t="str">
        <f>MCI!F36</f>
        <v>N/A</v>
      </c>
      <c r="J117" s="153">
        <f t="shared" si="80"/>
        <v>150.30000000000001</v>
      </c>
      <c r="K117" s="135">
        <f t="shared" si="81"/>
        <v>83100</v>
      </c>
      <c r="L117" s="141">
        <f t="shared" si="81"/>
        <v>67200</v>
      </c>
      <c r="M117" s="141">
        <f t="shared" si="81"/>
        <v>0</v>
      </c>
      <c r="N117" s="141">
        <f t="shared" si="81"/>
        <v>0</v>
      </c>
    </row>
    <row r="118" spans="2:18" x14ac:dyDescent="0.25">
      <c r="E118" s="87"/>
      <c r="F118" s="44"/>
      <c r="G118" s="44"/>
      <c r="H118" s="44"/>
      <c r="I118" s="44"/>
      <c r="J118" s="19"/>
      <c r="K118" s="168"/>
      <c r="L118" s="169"/>
      <c r="M118" s="169"/>
      <c r="N118" s="169"/>
    </row>
    <row r="119" spans="2:18" x14ac:dyDescent="0.25">
      <c r="E119" s="8" t="s">
        <v>456</v>
      </c>
      <c r="F119" s="132"/>
      <c r="G119" s="149"/>
      <c r="H119" s="149"/>
      <c r="I119" s="149"/>
      <c r="J119" s="129"/>
      <c r="K119" s="33"/>
      <c r="L119" s="33"/>
      <c r="M119" s="33"/>
      <c r="N119" s="148"/>
      <c r="O119" s="147"/>
      <c r="P119" s="28"/>
      <c r="Q119" s="28"/>
      <c r="R119" s="28"/>
    </row>
    <row r="120" spans="2:18" x14ac:dyDescent="0.25">
      <c r="E120" s="10"/>
      <c r="F120" s="3"/>
      <c r="H120" s="5"/>
      <c r="K120" s="6"/>
      <c r="L120" s="33"/>
      <c r="M120" s="33"/>
      <c r="N120" s="148"/>
    </row>
    <row r="121" spans="2:18" x14ac:dyDescent="0.25">
      <c r="E121" s="345" t="s">
        <v>286</v>
      </c>
      <c r="F121" s="345" t="s">
        <v>69</v>
      </c>
      <c r="G121" s="345" t="s">
        <v>237</v>
      </c>
      <c r="H121" s="345" t="s">
        <v>28</v>
      </c>
      <c r="I121" s="345" t="s">
        <v>238</v>
      </c>
      <c r="J121" s="82" t="s">
        <v>31</v>
      </c>
      <c r="K121" s="33"/>
      <c r="L121" s="33"/>
      <c r="M121" s="33"/>
      <c r="N121" s="148"/>
      <c r="O121" s="82" t="s">
        <v>323</v>
      </c>
      <c r="P121" s="82" t="s">
        <v>324</v>
      </c>
      <c r="Q121" s="82" t="s">
        <v>325</v>
      </c>
      <c r="R121" s="296" t="s">
        <v>510</v>
      </c>
    </row>
    <row r="122" spans="2:18" x14ac:dyDescent="0.25">
      <c r="E122" s="345"/>
      <c r="F122" s="345"/>
      <c r="G122" s="345"/>
      <c r="H122" s="345"/>
      <c r="I122" s="345"/>
      <c r="J122" s="153" t="s">
        <v>16</v>
      </c>
      <c r="K122" s="129"/>
      <c r="L122" s="33"/>
      <c r="M122" s="33"/>
      <c r="N122" s="33"/>
      <c r="O122" s="153" t="s">
        <v>274</v>
      </c>
      <c r="P122" s="153" t="s">
        <v>15</v>
      </c>
      <c r="Q122" s="153" t="s">
        <v>279</v>
      </c>
      <c r="R122" s="302" t="s">
        <v>530</v>
      </c>
    </row>
    <row r="123" spans="2:18" s="4" customFormat="1" ht="45" x14ac:dyDescent="0.25">
      <c r="B123" s="166"/>
      <c r="E123" s="345"/>
      <c r="F123" s="345"/>
      <c r="G123" s="345"/>
      <c r="H123" s="345"/>
      <c r="I123" s="345"/>
      <c r="J123" s="152" t="s">
        <v>51</v>
      </c>
      <c r="K123" s="167" t="s">
        <v>22</v>
      </c>
      <c r="L123" s="167" t="s">
        <v>23</v>
      </c>
      <c r="M123" s="167" t="s">
        <v>257</v>
      </c>
      <c r="N123" s="167" t="s">
        <v>258</v>
      </c>
      <c r="O123" s="30" t="s">
        <v>328</v>
      </c>
      <c r="P123" s="30" t="s">
        <v>326</v>
      </c>
      <c r="Q123" s="30" t="s">
        <v>327</v>
      </c>
      <c r="R123" s="303" t="s">
        <v>531</v>
      </c>
    </row>
    <row r="124" spans="2:18" x14ac:dyDescent="0.25">
      <c r="E124" s="78" t="s">
        <v>239</v>
      </c>
      <c r="F124" s="21">
        <f t="shared" ref="F124:I129" si="82">F112</f>
        <v>1</v>
      </c>
      <c r="G124" s="21">
        <f t="shared" si="82"/>
        <v>2</v>
      </c>
      <c r="H124" s="21">
        <f t="shared" si="82"/>
        <v>4</v>
      </c>
      <c r="I124" s="21" t="str">
        <f t="shared" si="82"/>
        <v>N/A</v>
      </c>
      <c r="J124" s="36">
        <f t="shared" ref="J124:J129" ca="1" si="83">SUM(K124:N124)</f>
        <v>315571.24664583453</v>
      </c>
      <c r="K124" s="135">
        <f t="shared" ref="K124:N129" ca="1" si="84">IF(F124=$F$99,$F$105,IF(F124=$G$99,$G$105,IF(F124=$H$99,$H$105,IF(F124=$I$99,$I$105,IF(F124=$J$99,$J$105,IF(F124=$O$99,$O$105,IF(F124=$P$99,$P$105,0)))))))</f>
        <v>116859.17290147542</v>
      </c>
      <c r="L124" s="141">
        <f t="shared" ca="1" si="84"/>
        <v>59973.980806263826</v>
      </c>
      <c r="M124" s="141">
        <f t="shared" ca="1" si="84"/>
        <v>138738.0929380953</v>
      </c>
      <c r="N124" s="141">
        <f t="shared" si="84"/>
        <v>0</v>
      </c>
      <c r="O124" s="155" t="s">
        <v>275</v>
      </c>
      <c r="P124" s="155" t="s">
        <v>275</v>
      </c>
      <c r="Q124" s="155" t="s">
        <v>275</v>
      </c>
      <c r="R124" s="301">
        <f ca="1">J124/$J$124</f>
        <v>1</v>
      </c>
    </row>
    <row r="125" spans="2:18" x14ac:dyDescent="0.25">
      <c r="E125" s="78" t="s">
        <v>241</v>
      </c>
      <c r="F125" s="21">
        <f t="shared" si="82"/>
        <v>1</v>
      </c>
      <c r="G125" s="21">
        <f t="shared" si="82"/>
        <v>2</v>
      </c>
      <c r="H125" s="21">
        <f t="shared" si="82"/>
        <v>6</v>
      </c>
      <c r="I125" s="21">
        <f t="shared" si="82"/>
        <v>7</v>
      </c>
      <c r="J125" s="36">
        <f t="shared" ca="1" si="83"/>
        <v>450448.35369511449</v>
      </c>
      <c r="K125" s="135">
        <f t="shared" ca="1" si="84"/>
        <v>116859.17290147542</v>
      </c>
      <c r="L125" s="141">
        <f t="shared" ca="1" si="84"/>
        <v>59973.980806263826</v>
      </c>
      <c r="M125" s="141">
        <f t="shared" ca="1" si="84"/>
        <v>100643.0321684513</v>
      </c>
      <c r="N125" s="141">
        <f t="shared" ca="1" si="84"/>
        <v>172972.16781892398</v>
      </c>
      <c r="O125" s="22">
        <f ca="1">J125-$J$124</f>
        <v>134877.10704927996</v>
      </c>
      <c r="P125" s="22">
        <f ca="1">O125/24</f>
        <v>5619.8794603866654</v>
      </c>
      <c r="Q125" s="22">
        <f ca="1">P125/3600</f>
        <v>1.5610776278851848</v>
      </c>
      <c r="R125" s="301">
        <f t="shared" ref="R125:R129" ca="1" si="85">J125/$J$124</f>
        <v>1.427406199021207</v>
      </c>
    </row>
    <row r="126" spans="2:18" x14ac:dyDescent="0.25">
      <c r="E126" s="78" t="s">
        <v>240</v>
      </c>
      <c r="F126" s="21">
        <f t="shared" si="82"/>
        <v>1</v>
      </c>
      <c r="G126" s="21">
        <f t="shared" si="82"/>
        <v>3</v>
      </c>
      <c r="H126" s="21">
        <f t="shared" si="82"/>
        <v>4</v>
      </c>
      <c r="I126" s="21" t="str">
        <f t="shared" si="82"/>
        <v>N/A</v>
      </c>
      <c r="J126" s="36">
        <f t="shared" ca="1" si="83"/>
        <v>315571.24664583453</v>
      </c>
      <c r="K126" s="135">
        <f t="shared" ca="1" si="84"/>
        <v>116859.17290147542</v>
      </c>
      <c r="L126" s="141">
        <f t="shared" ca="1" si="84"/>
        <v>59973.980806263826</v>
      </c>
      <c r="M126" s="141">
        <f t="shared" ca="1" si="84"/>
        <v>138738.0929380953</v>
      </c>
      <c r="N126" s="141">
        <f t="shared" si="84"/>
        <v>0</v>
      </c>
      <c r="O126" s="22">
        <f t="shared" ref="O126:O129" ca="1" si="86">J126-$J$124</f>
        <v>0</v>
      </c>
      <c r="P126" s="22">
        <f t="shared" ref="P126:P129" ca="1" si="87">O126/24</f>
        <v>0</v>
      </c>
      <c r="Q126" s="22">
        <f t="shared" ref="Q126:Q129" ca="1" si="88">P126/3600</f>
        <v>0</v>
      </c>
      <c r="R126" s="301">
        <f t="shared" ca="1" si="85"/>
        <v>1</v>
      </c>
    </row>
    <row r="127" spans="2:18" x14ac:dyDescent="0.25">
      <c r="E127" s="78" t="s">
        <v>242</v>
      </c>
      <c r="F127" s="21">
        <f t="shared" si="82"/>
        <v>1</v>
      </c>
      <c r="G127" s="21">
        <f t="shared" si="82"/>
        <v>3</v>
      </c>
      <c r="H127" s="21">
        <f t="shared" si="82"/>
        <v>6</v>
      </c>
      <c r="I127" s="21">
        <f t="shared" si="82"/>
        <v>7</v>
      </c>
      <c r="J127" s="36">
        <f t="shared" ca="1" si="83"/>
        <v>450448.35369511449</v>
      </c>
      <c r="K127" s="135">
        <f t="shared" ca="1" si="84"/>
        <v>116859.17290147542</v>
      </c>
      <c r="L127" s="141">
        <f t="shared" ca="1" si="84"/>
        <v>59973.980806263826</v>
      </c>
      <c r="M127" s="141">
        <f t="shared" ca="1" si="84"/>
        <v>100643.0321684513</v>
      </c>
      <c r="N127" s="141">
        <f t="shared" ca="1" si="84"/>
        <v>172972.16781892398</v>
      </c>
      <c r="O127" s="22">
        <f t="shared" ca="1" si="86"/>
        <v>134877.10704927996</v>
      </c>
      <c r="P127" s="22">
        <f t="shared" ca="1" si="87"/>
        <v>5619.8794603866654</v>
      </c>
      <c r="Q127" s="22">
        <f t="shared" ca="1" si="88"/>
        <v>1.5610776278851848</v>
      </c>
      <c r="R127" s="301">
        <f t="shared" ca="1" si="85"/>
        <v>1.427406199021207</v>
      </c>
    </row>
    <row r="128" spans="2:18" x14ac:dyDescent="0.25">
      <c r="E128" s="78" t="s">
        <v>243</v>
      </c>
      <c r="F128" s="21">
        <f t="shared" si="82"/>
        <v>5</v>
      </c>
      <c r="G128" s="21">
        <f t="shared" si="82"/>
        <v>6</v>
      </c>
      <c r="H128" s="21">
        <f t="shared" si="82"/>
        <v>4</v>
      </c>
      <c r="I128" s="21" t="str">
        <f t="shared" si="82"/>
        <v>N/A</v>
      </c>
      <c r="J128" s="36">
        <f t="shared" ca="1" si="83"/>
        <v>453279.74334691255</v>
      </c>
      <c r="K128" s="135">
        <f t="shared" ca="1" si="84"/>
        <v>213898.6182403659</v>
      </c>
      <c r="L128" s="141">
        <f t="shared" ca="1" si="84"/>
        <v>100643.0321684513</v>
      </c>
      <c r="M128" s="141">
        <f t="shared" ca="1" si="84"/>
        <v>138738.0929380953</v>
      </c>
      <c r="N128" s="141">
        <f t="shared" si="84"/>
        <v>0</v>
      </c>
      <c r="O128" s="22">
        <f t="shared" ca="1" si="86"/>
        <v>137708.49670107802</v>
      </c>
      <c r="P128" s="22">
        <f t="shared" ca="1" si="87"/>
        <v>5737.854029211584</v>
      </c>
      <c r="Q128" s="22">
        <f t="shared" ca="1" si="88"/>
        <v>1.5938483414476623</v>
      </c>
      <c r="R128" s="301">
        <f t="shared" ca="1" si="85"/>
        <v>1.4363784665579125</v>
      </c>
    </row>
    <row r="129" spans="5:18" x14ac:dyDescent="0.25">
      <c r="E129" s="78" t="s">
        <v>244</v>
      </c>
      <c r="F129" s="21">
        <f t="shared" si="82"/>
        <v>5</v>
      </c>
      <c r="G129" s="21">
        <f t="shared" si="82"/>
        <v>7</v>
      </c>
      <c r="H129" s="21" t="str">
        <f t="shared" si="82"/>
        <v>N/A</v>
      </c>
      <c r="I129" s="21" t="str">
        <f t="shared" si="82"/>
        <v>N/A</v>
      </c>
      <c r="J129" s="36">
        <f t="shared" ca="1" si="83"/>
        <v>386870.78605928988</v>
      </c>
      <c r="K129" s="135">
        <f t="shared" ca="1" si="84"/>
        <v>213898.6182403659</v>
      </c>
      <c r="L129" s="141">
        <f t="shared" ca="1" si="84"/>
        <v>172972.16781892398</v>
      </c>
      <c r="M129" s="141">
        <f t="shared" si="84"/>
        <v>0</v>
      </c>
      <c r="N129" s="141">
        <f t="shared" si="84"/>
        <v>0</v>
      </c>
      <c r="O129" s="22">
        <f t="shared" ca="1" si="86"/>
        <v>71299.53941345535</v>
      </c>
      <c r="P129" s="22">
        <f t="shared" ca="1" si="87"/>
        <v>2970.8141422273061</v>
      </c>
      <c r="Q129" s="22">
        <f t="shared" ca="1" si="88"/>
        <v>0.82522615061869609</v>
      </c>
      <c r="R129" s="301">
        <f t="shared" ca="1" si="85"/>
        <v>1.2259380097879284</v>
      </c>
    </row>
    <row r="130" spans="5:18" x14ac:dyDescent="0.25">
      <c r="E130" s="26" t="s">
        <v>76</v>
      </c>
      <c r="F130" s="5" t="s">
        <v>276</v>
      </c>
    </row>
    <row r="131" spans="5:18" x14ac:dyDescent="0.25">
      <c r="E131" s="124"/>
    </row>
    <row r="132" spans="5:18" x14ac:dyDescent="0.25">
      <c r="E132" s="124"/>
    </row>
    <row r="133" spans="5:18" x14ac:dyDescent="0.25">
      <c r="E133" s="124"/>
    </row>
    <row r="134" spans="5:18" x14ac:dyDescent="0.25">
      <c r="E134" s="124"/>
    </row>
    <row r="135" spans="5:18" x14ac:dyDescent="0.25">
      <c r="E135" s="124"/>
      <c r="F135" s="124"/>
    </row>
    <row r="136" spans="5:18" x14ac:dyDescent="0.25">
      <c r="E136" s="124"/>
      <c r="F136" s="124"/>
    </row>
    <row r="137" spans="5:18" x14ac:dyDescent="0.25">
      <c r="E137" s="124"/>
      <c r="F137" s="124"/>
    </row>
    <row r="138" spans="5:18" x14ac:dyDescent="0.25">
      <c r="E138" s="124"/>
      <c r="F138" s="124"/>
    </row>
    <row r="139" spans="5:18" x14ac:dyDescent="0.25">
      <c r="E139" s="124"/>
      <c r="F139" s="124"/>
    </row>
    <row r="140" spans="5:18" x14ac:dyDescent="0.25">
      <c r="E140" s="124"/>
      <c r="F140" s="124"/>
    </row>
    <row r="141" spans="5:18" x14ac:dyDescent="0.25">
      <c r="E141" s="124"/>
      <c r="F141" s="124"/>
    </row>
    <row r="142" spans="5:18" x14ac:dyDescent="0.25">
      <c r="E142" s="124"/>
      <c r="F142" s="124"/>
    </row>
    <row r="143" spans="5:18" x14ac:dyDescent="0.25">
      <c r="E143" s="124"/>
    </row>
    <row r="144" spans="5:18" x14ac:dyDescent="0.25">
      <c r="E144" s="124"/>
    </row>
  </sheetData>
  <mergeCells count="17">
    <mergeCell ref="E121:E123"/>
    <mergeCell ref="F121:F123"/>
    <mergeCell ref="G121:G123"/>
    <mergeCell ref="H121:H123"/>
    <mergeCell ref="I121:I123"/>
    <mergeCell ref="I110:I111"/>
    <mergeCell ref="H110:H111"/>
    <mergeCell ref="G110:G111"/>
    <mergeCell ref="F110:F111"/>
    <mergeCell ref="E110:E111"/>
    <mergeCell ref="E85:E86"/>
    <mergeCell ref="E7:E8"/>
    <mergeCell ref="E20:E21"/>
    <mergeCell ref="E33:E34"/>
    <mergeCell ref="E46:E47"/>
    <mergeCell ref="E59:E60"/>
    <mergeCell ref="E72:E73"/>
  </mergeCells>
  <pageMargins left="0.7" right="0.7" top="0.75" bottom="0.75" header="0.3" footer="0.3"/>
  <pageSetup scale="61" fitToHeight="0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>
    <pageSetUpPr fitToPage="1"/>
  </sheetPr>
  <dimension ref="B1:S165"/>
  <sheetViews>
    <sheetView zoomScaleNormal="100" workbookViewId="0">
      <selection activeCell="R87" sqref="R87"/>
    </sheetView>
  </sheetViews>
  <sheetFormatPr baseColWidth="10" defaultColWidth="11.5703125" defaultRowHeight="15" x14ac:dyDescent="0.25"/>
  <cols>
    <col min="1" max="1" width="9.42578125" style="219" customWidth="1"/>
    <col min="2" max="11" width="17.28515625" style="219" customWidth="1"/>
    <col min="12" max="16" width="18.7109375" style="219" customWidth="1"/>
    <col min="17" max="22" width="18.42578125" style="219" customWidth="1"/>
    <col min="23" max="16384" width="11.5703125" style="219"/>
  </cols>
  <sheetData>
    <row r="1" spans="2:7" x14ac:dyDescent="0.25">
      <c r="B1" s="13" t="s">
        <v>37</v>
      </c>
      <c r="C1"/>
    </row>
    <row r="2" spans="2:7" x14ac:dyDescent="0.25">
      <c r="B2" t="s">
        <v>35</v>
      </c>
    </row>
    <row r="3" spans="2:7" x14ac:dyDescent="0.25">
      <c r="B3" t="s">
        <v>84</v>
      </c>
    </row>
    <row r="4" spans="2:7" s="238" customFormat="1" x14ac:dyDescent="0.25">
      <c r="B4"/>
    </row>
    <row r="5" spans="2:7" s="238" customFormat="1" x14ac:dyDescent="0.25">
      <c r="B5" s="247" t="s">
        <v>340</v>
      </c>
      <c r="C5" s="248"/>
      <c r="D5" s="248"/>
      <c r="E5" s="248"/>
      <c r="F5" s="248"/>
      <c r="G5" s="249"/>
    </row>
    <row r="6" spans="2:7" s="238" customFormat="1" x14ac:dyDescent="0.25">
      <c r="B6" s="250" t="s">
        <v>341</v>
      </c>
      <c r="C6" s="251"/>
      <c r="D6" s="251"/>
      <c r="E6" s="251"/>
      <c r="F6" s="251"/>
      <c r="G6" s="252"/>
    </row>
    <row r="7" spans="2:7" s="238" customFormat="1" ht="24.75" x14ac:dyDescent="0.25">
      <c r="B7" s="359" t="s">
        <v>337</v>
      </c>
      <c r="C7" s="236" t="s">
        <v>338</v>
      </c>
      <c r="D7" s="236" t="s">
        <v>432</v>
      </c>
      <c r="E7" s="180" t="s">
        <v>339</v>
      </c>
      <c r="F7" s="181" t="s">
        <v>343</v>
      </c>
      <c r="G7" s="181" t="s">
        <v>344</v>
      </c>
    </row>
    <row r="8" spans="2:7" s="238" customFormat="1" x14ac:dyDescent="0.25">
      <c r="B8" s="359"/>
      <c r="C8" s="182" t="s">
        <v>346</v>
      </c>
      <c r="D8" s="182" t="s">
        <v>142</v>
      </c>
      <c r="E8" s="182" t="s">
        <v>347</v>
      </c>
      <c r="F8" s="182" t="s">
        <v>345</v>
      </c>
      <c r="G8" s="182" t="s">
        <v>85</v>
      </c>
    </row>
    <row r="9" spans="2:7" s="238" customFormat="1" x14ac:dyDescent="0.25">
      <c r="B9" s="236" t="s">
        <v>329</v>
      </c>
      <c r="C9" s="179">
        <v>80</v>
      </c>
      <c r="D9" s="253" t="s">
        <v>433</v>
      </c>
      <c r="E9" s="179">
        <v>197.9</v>
      </c>
      <c r="F9" s="36">
        <f t="shared" ref="F9:F19" ca="1" si="0">E9*1000*$D$21</f>
        <v>1151949.5315098364</v>
      </c>
      <c r="G9" s="36">
        <f t="shared" ref="G9:G19" ca="1" si="1">F9/C9</f>
        <v>14399.369143872955</v>
      </c>
    </row>
    <row r="10" spans="2:7" s="238" customFormat="1" x14ac:dyDescent="0.25">
      <c r="B10" s="236" t="s">
        <v>330</v>
      </c>
      <c r="C10" s="179">
        <v>67</v>
      </c>
      <c r="D10" s="253" t="s">
        <v>434</v>
      </c>
      <c r="E10" s="179">
        <v>386.5</v>
      </c>
      <c r="F10" s="36">
        <f t="shared" ca="1" si="0"/>
        <v>2249765.0021654963</v>
      </c>
      <c r="G10" s="36">
        <f t="shared" ca="1" si="1"/>
        <v>33578.582121873078</v>
      </c>
    </row>
    <row r="11" spans="2:7" s="238" customFormat="1" x14ac:dyDescent="0.25">
      <c r="B11" s="236" t="s">
        <v>331</v>
      </c>
      <c r="C11" s="179">
        <v>88</v>
      </c>
      <c r="D11" s="253" t="s">
        <v>435</v>
      </c>
      <c r="E11" s="179">
        <v>166.2</v>
      </c>
      <c r="F11" s="36">
        <f t="shared" ca="1" si="0"/>
        <v>967428.05526495609</v>
      </c>
      <c r="G11" s="36">
        <f t="shared" ca="1" si="1"/>
        <v>10993.500628010865</v>
      </c>
    </row>
    <row r="12" spans="2:7" s="238" customFormat="1" x14ac:dyDescent="0.25">
      <c r="B12" s="236" t="s">
        <v>336</v>
      </c>
      <c r="C12" s="179">
        <v>41</v>
      </c>
      <c r="D12" s="253" t="s">
        <v>436</v>
      </c>
      <c r="E12" s="179">
        <v>86.7</v>
      </c>
      <c r="F12" s="36">
        <f t="shared" ca="1" si="0"/>
        <v>504669.14796312689</v>
      </c>
      <c r="G12" s="36">
        <f t="shared" ca="1" si="1"/>
        <v>12309.003608856754</v>
      </c>
    </row>
    <row r="13" spans="2:7" s="238" customFormat="1" x14ac:dyDescent="0.25">
      <c r="B13" s="236" t="s">
        <v>332</v>
      </c>
      <c r="C13" s="179">
        <v>7</v>
      </c>
      <c r="D13" s="253" t="s">
        <v>437</v>
      </c>
      <c r="E13" s="179">
        <v>40.299999999999997</v>
      </c>
      <c r="F13" s="36">
        <f t="shared" ca="1" si="0"/>
        <v>234580.93036809703</v>
      </c>
      <c r="G13" s="36">
        <f t="shared" ca="1" si="1"/>
        <v>33511.561481156721</v>
      </c>
    </row>
    <row r="14" spans="2:7" s="238" customFormat="1" x14ac:dyDescent="0.25">
      <c r="B14" s="236" t="s">
        <v>333</v>
      </c>
      <c r="C14" s="179">
        <v>13</v>
      </c>
      <c r="D14" s="253" t="s">
        <v>438</v>
      </c>
      <c r="E14" s="179">
        <v>21.5</v>
      </c>
      <c r="F14" s="36">
        <f t="shared" ca="1" si="0"/>
        <v>125148.63530804185</v>
      </c>
      <c r="G14" s="36">
        <f t="shared" ca="1" si="1"/>
        <v>9626.8181006186041</v>
      </c>
    </row>
    <row r="15" spans="2:7" s="238" customFormat="1" x14ac:dyDescent="0.25">
      <c r="B15" s="236" t="s">
        <v>334</v>
      </c>
      <c r="C15" s="179">
        <v>71</v>
      </c>
      <c r="D15" s="253" t="s">
        <v>439</v>
      </c>
      <c r="E15" s="179">
        <v>244</v>
      </c>
      <c r="F15" s="36">
        <f t="shared" ca="1" si="0"/>
        <v>1420291.4890773122</v>
      </c>
      <c r="G15" s="36">
        <f t="shared" ca="1" si="1"/>
        <v>20004.105479962142</v>
      </c>
    </row>
    <row r="16" spans="2:7" s="238" customFormat="1" x14ac:dyDescent="0.25">
      <c r="B16" s="236" t="s">
        <v>329</v>
      </c>
      <c r="C16" s="179">
        <v>61</v>
      </c>
      <c r="D16" s="253" t="s">
        <v>440</v>
      </c>
      <c r="E16" s="179">
        <v>264.5</v>
      </c>
      <c r="F16" s="36">
        <f t="shared" ca="1" si="0"/>
        <v>1539619.2576268404</v>
      </c>
      <c r="G16" s="36">
        <f t="shared" ca="1" si="1"/>
        <v>25239.659961095746</v>
      </c>
    </row>
    <row r="17" spans="2:13" s="238" customFormat="1" x14ac:dyDescent="0.25">
      <c r="B17" s="236" t="s">
        <v>334</v>
      </c>
      <c r="C17" s="179">
        <v>39</v>
      </c>
      <c r="D17" s="253" t="s">
        <v>441</v>
      </c>
      <c r="E17" s="179">
        <v>316.5</v>
      </c>
      <c r="F17" s="36">
        <f t="shared" ca="1" si="0"/>
        <v>1842304.3290695462</v>
      </c>
      <c r="G17" s="36">
        <f t="shared" ca="1" si="1"/>
        <v>47238.572540244772</v>
      </c>
    </row>
    <row r="18" spans="2:13" s="238" customFormat="1" x14ac:dyDescent="0.25">
      <c r="B18" s="236" t="s">
        <v>335</v>
      </c>
      <c r="C18" s="179">
        <v>64</v>
      </c>
      <c r="D18" s="253" t="s">
        <v>442</v>
      </c>
      <c r="E18" s="179">
        <v>197.8</v>
      </c>
      <c r="F18" s="36">
        <f t="shared" ca="1" si="0"/>
        <v>1151367.4448339851</v>
      </c>
      <c r="G18" s="36">
        <f t="shared" ca="1" si="1"/>
        <v>17990.116325531017</v>
      </c>
    </row>
    <row r="19" spans="2:13" s="238" customFormat="1" x14ac:dyDescent="0.25">
      <c r="B19" s="236" t="s">
        <v>342</v>
      </c>
      <c r="C19" s="179">
        <f>AVERAGE(C9:C18)</f>
        <v>53.1</v>
      </c>
      <c r="D19" s="253" t="s">
        <v>246</v>
      </c>
      <c r="E19" s="179">
        <f t="shared" ref="E19" si="2">AVERAGE(E9:E18)</f>
        <v>192.19</v>
      </c>
      <c r="F19" s="36">
        <f t="shared" ca="1" si="0"/>
        <v>1118712.3823187239</v>
      </c>
      <c r="G19" s="325">
        <f t="shared" ca="1" si="1"/>
        <v>21068.029798846026</v>
      </c>
    </row>
    <row r="20" spans="2:13" s="238" customFormat="1" x14ac:dyDescent="0.25">
      <c r="B20" s="26" t="s">
        <v>76</v>
      </c>
      <c r="C20" s="35" t="s">
        <v>83</v>
      </c>
      <c r="D20" s="57"/>
      <c r="E20" s="44"/>
      <c r="F20"/>
      <c r="G20"/>
      <c r="H20"/>
    </row>
    <row r="21" spans="2:13" s="238" customFormat="1" x14ac:dyDescent="0.25">
      <c r="B21" s="255" t="s">
        <v>79</v>
      </c>
      <c r="C21" s="58" t="s">
        <v>446</v>
      </c>
      <c r="D21" s="15">
        <f ca="1">MCI!C68</f>
        <v>5.8208667585135743</v>
      </c>
      <c r="E21"/>
      <c r="F21"/>
      <c r="G21"/>
      <c r="H21"/>
    </row>
    <row r="22" spans="2:13" s="238" customFormat="1" x14ac:dyDescent="0.25">
      <c r="B22" s="254"/>
      <c r="C22" s="58"/>
      <c r="D22" s="15"/>
      <c r="E22"/>
      <c r="F22"/>
      <c r="G22"/>
      <c r="H22"/>
    </row>
    <row r="23" spans="2:13" s="238" customFormat="1" x14ac:dyDescent="0.25">
      <c r="B23" s="13" t="s">
        <v>31</v>
      </c>
      <c r="C23" s="324">
        <f ca="1">G19</f>
        <v>21068.029798846026</v>
      </c>
      <c r="D23" t="s">
        <v>86</v>
      </c>
      <c r="E23"/>
      <c r="F23"/>
      <c r="G23"/>
      <c r="H23"/>
    </row>
    <row r="24" spans="2:13" s="238" customFormat="1" x14ac:dyDescent="0.25">
      <c r="B24"/>
    </row>
    <row r="25" spans="2:13" x14ac:dyDescent="0.25">
      <c r="B25" s="178" t="s">
        <v>141</v>
      </c>
      <c r="C25" s="217">
        <v>1</v>
      </c>
      <c r="D25" s="217">
        <v>2</v>
      </c>
      <c r="E25" s="217">
        <v>3</v>
      </c>
      <c r="F25" s="217">
        <v>4</v>
      </c>
      <c r="G25" s="217">
        <v>5</v>
      </c>
      <c r="H25" s="217">
        <v>6</v>
      </c>
      <c r="I25" s="217">
        <v>7</v>
      </c>
    </row>
    <row r="26" spans="2:13" x14ac:dyDescent="0.25">
      <c r="B26" s="178" t="s">
        <v>391</v>
      </c>
      <c r="C26" s="143">
        <f>MCI!C56</f>
        <v>20554</v>
      </c>
      <c r="D26" s="143">
        <f>MCI!D56</f>
        <v>8833.5</v>
      </c>
      <c r="E26" s="143">
        <f>MCI!E56</f>
        <v>2635.5</v>
      </c>
      <c r="F26" s="143">
        <f>MCI!F56</f>
        <v>5458.5</v>
      </c>
      <c r="G26" s="143">
        <f>MCI!G56</f>
        <v>3910</v>
      </c>
      <c r="H26" s="143">
        <f>MCI!H56</f>
        <v>2932</v>
      </c>
      <c r="I26" s="143">
        <f>MCI!I56</f>
        <v>22745</v>
      </c>
      <c r="J26" s="144"/>
      <c r="K26" s="144"/>
    </row>
    <row r="27" spans="2:13" x14ac:dyDescent="0.25">
      <c r="B27" s="178" t="s">
        <v>110</v>
      </c>
      <c r="C27" s="143" t="str">
        <f>MCI!C24</f>
        <v>Lomerío</v>
      </c>
      <c r="D27" s="143" t="str">
        <f>MCI!D24</f>
        <v>Montañoso</v>
      </c>
      <c r="E27" s="143" t="str">
        <f>MCI!E24</f>
        <v>Montañoso</v>
      </c>
      <c r="F27" s="143" t="str">
        <f>MCI!F24</f>
        <v>Montañoso</v>
      </c>
      <c r="G27" s="143" t="str">
        <f>MCI!G24</f>
        <v>Lomerío</v>
      </c>
      <c r="H27" s="143" t="str">
        <f>MCI!H24</f>
        <v>Lomerío</v>
      </c>
      <c r="I27" s="143" t="str">
        <f>MCI!I24</f>
        <v>Lomerío</v>
      </c>
      <c r="J27" s="144"/>
      <c r="K27" s="144"/>
    </row>
    <row r="28" spans="2:13" x14ac:dyDescent="0.25">
      <c r="B28" s="178" t="s">
        <v>125</v>
      </c>
      <c r="C28" s="143">
        <f>MCI!C25</f>
        <v>4</v>
      </c>
      <c r="D28" s="143">
        <f>MCI!D25</f>
        <v>6</v>
      </c>
      <c r="E28" s="143">
        <f>MCI!E25</f>
        <v>4</v>
      </c>
      <c r="F28" s="143">
        <f>MCI!F25</f>
        <v>4</v>
      </c>
      <c r="G28" s="143">
        <f>MCI!G25</f>
        <v>8</v>
      </c>
      <c r="H28" s="143">
        <f>MCI!H25</f>
        <v>4</v>
      </c>
      <c r="I28" s="143">
        <f>MCI!I25</f>
        <v>2</v>
      </c>
      <c r="J28" s="144"/>
      <c r="K28" s="144"/>
    </row>
    <row r="29" spans="2:13" s="238" customFormat="1" x14ac:dyDescent="0.25">
      <c r="B29" s="178" t="s">
        <v>263</v>
      </c>
      <c r="C29" s="182">
        <f>MCI!C23/1000</f>
        <v>45.4</v>
      </c>
      <c r="D29" s="182">
        <f>MCI!D23/1000</f>
        <v>23.3</v>
      </c>
      <c r="E29" s="182">
        <f>MCI!E23/1000</f>
        <v>23.3</v>
      </c>
      <c r="F29" s="182">
        <f>MCI!F23/1000</f>
        <v>53.9</v>
      </c>
      <c r="G29" s="182">
        <f>MCI!G23/1000</f>
        <v>83.1</v>
      </c>
      <c r="H29" s="182">
        <f>MCI!H23/1000</f>
        <v>39.1</v>
      </c>
      <c r="I29" s="182">
        <f>MCI!I23/1000</f>
        <v>67.2</v>
      </c>
      <c r="J29" s="144"/>
      <c r="K29" s="144"/>
    </row>
    <row r="30" spans="2:13" x14ac:dyDescent="0.25">
      <c r="B30" s="178" t="str">
        <f>MCI!B26</f>
        <v>Clasificación</v>
      </c>
      <c r="C30" s="182" t="str">
        <f>MCI!C26</f>
        <v>CUOTA 2 Carriles</v>
      </c>
      <c r="D30" s="182" t="str">
        <f>MCI!D26</f>
        <v>"B" 2 Carriles</v>
      </c>
      <c r="E30" s="182" t="str">
        <f>MCI!E26</f>
        <v>CUOTA 2 Carriles</v>
      </c>
      <c r="F30" s="182" t="str">
        <f>MCI!F26</f>
        <v>"C" 2 Carriles</v>
      </c>
      <c r="G30" s="182" t="str">
        <f>MCI!G26</f>
        <v>CUOTA 2 Carriles</v>
      </c>
      <c r="H30" s="182" t="str">
        <f>MCI!H26</f>
        <v>CUOTA 2 Carriles</v>
      </c>
      <c r="I30" s="182" t="str">
        <f>MCI!I26</f>
        <v>CUOTA 4+ Carriles</v>
      </c>
      <c r="J30" s="144"/>
      <c r="K30" s="144"/>
    </row>
    <row r="31" spans="2:13" x14ac:dyDescent="0.25">
      <c r="B31" s="26" t="s">
        <v>76</v>
      </c>
      <c r="C31" s="55" t="s">
        <v>303</v>
      </c>
      <c r="D31" s="149"/>
      <c r="E31" s="149"/>
      <c r="F31" s="161"/>
      <c r="G31" s="161"/>
      <c r="H31" s="158"/>
      <c r="I31" s="158"/>
      <c r="J31" s="158"/>
      <c r="K31" s="161"/>
      <c r="L31" s="161"/>
      <c r="M31" s="161"/>
    </row>
    <row r="32" spans="2:13" x14ac:dyDescent="0.25">
      <c r="B32" s="26"/>
      <c r="C32" s="55"/>
      <c r="D32" s="149"/>
      <c r="E32" s="149"/>
      <c r="F32" s="161"/>
      <c r="G32" s="161"/>
      <c r="H32" s="158"/>
      <c r="I32" s="158"/>
      <c r="J32" s="158"/>
      <c r="K32" s="161"/>
      <c r="L32" s="161"/>
      <c r="M32" s="161"/>
    </row>
    <row r="33" spans="2:18" x14ac:dyDescent="0.25">
      <c r="B33" s="26" t="str">
        <f>MCI!B58</f>
        <v>TDPAef</v>
      </c>
      <c r="C33" s="26">
        <f>MCI!C58</f>
        <v>5458.5</v>
      </c>
      <c r="D33" s="5" t="str">
        <f>MCI!D58</f>
        <v>(TDPA EFECTIVO; ES EL QUE EXCLUSIVAMENTE VA DEL PRIMER AL ULTIMO PUNTO DE LA RUTA PRINCIPAL; NO EL TDPA TOTAL)</v>
      </c>
      <c r="E33" s="149"/>
      <c r="F33" s="161"/>
      <c r="G33" s="161"/>
      <c r="H33" s="158"/>
      <c r="I33" s="158"/>
      <c r="J33" s="158"/>
      <c r="K33" s="161"/>
      <c r="L33" s="161"/>
      <c r="M33" s="161"/>
    </row>
    <row r="34" spans="2:18" x14ac:dyDescent="0.25">
      <c r="B34" s="18"/>
      <c r="H34" s="90"/>
      <c r="I34" s="90"/>
      <c r="J34" s="90"/>
      <c r="K34" s="124"/>
      <c r="L34" s="124"/>
      <c r="M34" s="124"/>
      <c r="N34" s="124"/>
      <c r="O34" s="124"/>
      <c r="P34" s="124"/>
      <c r="Q34" s="124"/>
      <c r="R34" s="124"/>
    </row>
    <row r="35" spans="2:18" x14ac:dyDescent="0.25">
      <c r="B35" s="8" t="s">
        <v>456</v>
      </c>
      <c r="C35" s="88"/>
      <c r="D35" s="88"/>
      <c r="E35" s="88"/>
      <c r="F35" s="88"/>
      <c r="G35" s="88"/>
      <c r="H35" s="88"/>
      <c r="I35" s="88"/>
      <c r="J35" s="88"/>
      <c r="K35" s="124"/>
      <c r="L35" s="124"/>
      <c r="M35" s="124"/>
      <c r="N35" s="124"/>
      <c r="O35" s="124"/>
      <c r="P35" s="124"/>
      <c r="Q35" s="124"/>
      <c r="R35" s="124"/>
    </row>
    <row r="36" spans="2:18" x14ac:dyDescent="0.25">
      <c r="K36" s="124"/>
    </row>
    <row r="37" spans="2:18" x14ac:dyDescent="0.25">
      <c r="B37" s="346" t="s">
        <v>286</v>
      </c>
      <c r="C37" s="343" t="s">
        <v>69</v>
      </c>
      <c r="D37" s="343" t="s">
        <v>237</v>
      </c>
      <c r="E37" s="343" t="s">
        <v>28</v>
      </c>
      <c r="F37" s="343" t="s">
        <v>238</v>
      </c>
      <c r="G37" s="363" t="s">
        <v>2</v>
      </c>
      <c r="H37" s="364"/>
      <c r="I37" s="364"/>
      <c r="J37" s="365"/>
      <c r="K37" s="124"/>
    </row>
    <row r="38" spans="2:18" x14ac:dyDescent="0.25">
      <c r="B38" s="347"/>
      <c r="C38" s="344"/>
      <c r="D38" s="344"/>
      <c r="E38" s="344"/>
      <c r="F38" s="344"/>
      <c r="G38" s="34" t="s">
        <v>69</v>
      </c>
      <c r="H38" s="34" t="s">
        <v>237</v>
      </c>
      <c r="I38" s="34" t="s">
        <v>28</v>
      </c>
      <c r="J38" s="34" t="s">
        <v>238</v>
      </c>
      <c r="K38" s="124"/>
    </row>
    <row r="39" spans="2:18" s="238" customFormat="1" x14ac:dyDescent="0.25">
      <c r="B39" s="78" t="s">
        <v>239</v>
      </c>
      <c r="C39" s="21">
        <f>MCI!C31</f>
        <v>1</v>
      </c>
      <c r="D39" s="21">
        <f>MCI!D31</f>
        <v>2</v>
      </c>
      <c r="E39" s="21">
        <f>MCI!E31</f>
        <v>4</v>
      </c>
      <c r="F39" s="21" t="str">
        <f>MCI!F31</f>
        <v>N/A</v>
      </c>
      <c r="G39" s="240">
        <f>IF(C39=$C$25,$C$26,IF(C39=$D$25,$D$26,IF(C39=$E$25,$E$26,IF(C39=$F$25,$F$26,IF(C39=$G$25,$G$26,IF(C39=$H$25,$H$26,IF(C39=$I$25,$I$26,0)))))))</f>
        <v>20554</v>
      </c>
      <c r="H39" s="241">
        <f>IF(D39=$C$25,$C$26,IF(D39=$D$25,$D$26,IF(D39=$E$25,$E$26,IF(D39=$F$25,$F$26,IF(D39=$G$25,$G$26,IF(D39=$H$25,$H$26,IF(D39=$I$25,$I$26,0)))))))</f>
        <v>8833.5</v>
      </c>
      <c r="I39" s="241">
        <f>IF(E39=$C$25,$C$26,IF(E39=$D$25,$D$26,IF(E39=$E$25,$E$26,IF(E39=$F$25,$F$26,IF(E39=$G$25,$G$26,IF(E39=$H$25,$H$26,IF(E39=$I$25,$I$26,0)))))))</f>
        <v>5458.5</v>
      </c>
      <c r="J39" s="241">
        <f>IF(F39=$C$25,$C$26,IF(F39=$D$25,$D$26,IF(F39=$E$25,$E$26,IF(F39=$F$25,$F$26,IF(F39=$G$25,$G$26,IF(F39=$H$25,$H$26,IF(F39=$I$25,$I$26,0)))))))</f>
        <v>0</v>
      </c>
      <c r="K39" s="124"/>
    </row>
    <row r="40" spans="2:18" x14ac:dyDescent="0.25">
      <c r="B40" s="78" t="s">
        <v>241</v>
      </c>
      <c r="C40" s="21">
        <f>MCI!C32</f>
        <v>1</v>
      </c>
      <c r="D40" s="21">
        <f>MCI!D32</f>
        <v>2</v>
      </c>
      <c r="E40" s="21">
        <f>MCI!E32</f>
        <v>6</v>
      </c>
      <c r="F40" s="21">
        <f>MCI!F32</f>
        <v>7</v>
      </c>
      <c r="G40" s="135">
        <f t="shared" ref="G40:J44" si="3">IF(C40=$C$25,$C$26,IF(C40=$D$25,$D$26,IF(C40=$E$25,$E$26,IF(C40=$F$25,$F$26,IF(C40=$G$25,$G$26,IF(C40=$H$25,$H$26,IF(C40=$I$25,$I$26,0)))))))</f>
        <v>20554</v>
      </c>
      <c r="H40" s="141">
        <f t="shared" si="3"/>
        <v>8833.5</v>
      </c>
      <c r="I40" s="141">
        <f t="shared" si="3"/>
        <v>2932</v>
      </c>
      <c r="J40" s="141">
        <f t="shared" si="3"/>
        <v>22745</v>
      </c>
      <c r="K40" s="124"/>
    </row>
    <row r="41" spans="2:18" x14ac:dyDescent="0.25">
      <c r="B41" s="78" t="s">
        <v>240</v>
      </c>
      <c r="C41" s="21">
        <f>MCI!C33</f>
        <v>1</v>
      </c>
      <c r="D41" s="21">
        <f>MCI!D33</f>
        <v>3</v>
      </c>
      <c r="E41" s="21">
        <f>MCI!E33</f>
        <v>4</v>
      </c>
      <c r="F41" s="21" t="str">
        <f>MCI!F33</f>
        <v>N/A</v>
      </c>
      <c r="G41" s="135">
        <f t="shared" si="3"/>
        <v>20554</v>
      </c>
      <c r="H41" s="141">
        <f t="shared" si="3"/>
        <v>2635.5</v>
      </c>
      <c r="I41" s="141">
        <f t="shared" si="3"/>
        <v>5458.5</v>
      </c>
      <c r="J41" s="141">
        <f t="shared" si="3"/>
        <v>0</v>
      </c>
      <c r="K41" s="124"/>
    </row>
    <row r="42" spans="2:18" x14ac:dyDescent="0.25">
      <c r="B42" s="78" t="s">
        <v>242</v>
      </c>
      <c r="C42" s="21">
        <f>MCI!C34</f>
        <v>1</v>
      </c>
      <c r="D42" s="21">
        <f>MCI!D34</f>
        <v>3</v>
      </c>
      <c r="E42" s="21">
        <f>MCI!E34</f>
        <v>6</v>
      </c>
      <c r="F42" s="21">
        <f>MCI!F34</f>
        <v>7</v>
      </c>
      <c r="G42" s="135">
        <f t="shared" si="3"/>
        <v>20554</v>
      </c>
      <c r="H42" s="141">
        <f t="shared" si="3"/>
        <v>2635.5</v>
      </c>
      <c r="I42" s="141">
        <f t="shared" si="3"/>
        <v>2932</v>
      </c>
      <c r="J42" s="141">
        <f t="shared" si="3"/>
        <v>22745</v>
      </c>
      <c r="K42" s="124"/>
    </row>
    <row r="43" spans="2:18" x14ac:dyDescent="0.25">
      <c r="B43" s="78" t="s">
        <v>243</v>
      </c>
      <c r="C43" s="21">
        <f>MCI!C35</f>
        <v>5</v>
      </c>
      <c r="D43" s="21">
        <f>MCI!D35</f>
        <v>6</v>
      </c>
      <c r="E43" s="21">
        <f>MCI!E35</f>
        <v>4</v>
      </c>
      <c r="F43" s="21" t="str">
        <f>MCI!F35</f>
        <v>N/A</v>
      </c>
      <c r="G43" s="135">
        <f t="shared" si="3"/>
        <v>3910</v>
      </c>
      <c r="H43" s="141">
        <f t="shared" si="3"/>
        <v>2932</v>
      </c>
      <c r="I43" s="141">
        <f t="shared" si="3"/>
        <v>5458.5</v>
      </c>
      <c r="J43" s="141">
        <f t="shared" si="3"/>
        <v>0</v>
      </c>
      <c r="K43" s="124"/>
    </row>
    <row r="44" spans="2:18" x14ac:dyDescent="0.25">
      <c r="B44" s="78" t="s">
        <v>244</v>
      </c>
      <c r="C44" s="21">
        <f>MCI!C36</f>
        <v>5</v>
      </c>
      <c r="D44" s="21">
        <f>MCI!D36</f>
        <v>7</v>
      </c>
      <c r="E44" s="21" t="str">
        <f>MCI!E36</f>
        <v>N/A</v>
      </c>
      <c r="F44" s="21" t="str">
        <f>MCI!F36</f>
        <v>N/A</v>
      </c>
      <c r="G44" s="135">
        <f t="shared" si="3"/>
        <v>3910</v>
      </c>
      <c r="H44" s="141">
        <f t="shared" si="3"/>
        <v>22745</v>
      </c>
      <c r="I44" s="141">
        <f t="shared" si="3"/>
        <v>0</v>
      </c>
      <c r="J44" s="141">
        <f t="shared" si="3"/>
        <v>0</v>
      </c>
      <c r="K44" s="124"/>
    </row>
    <row r="45" spans="2:18" x14ac:dyDescent="0.25">
      <c r="K45" s="124"/>
    </row>
    <row r="46" spans="2:18" x14ac:dyDescent="0.25">
      <c r="B46" s="346" t="s">
        <v>286</v>
      </c>
      <c r="C46" s="343" t="s">
        <v>69</v>
      </c>
      <c r="D46" s="343" t="s">
        <v>237</v>
      </c>
      <c r="E46" s="343" t="s">
        <v>28</v>
      </c>
      <c r="F46" s="343" t="s">
        <v>238</v>
      </c>
      <c r="G46" s="360" t="s">
        <v>392</v>
      </c>
      <c r="H46" s="361"/>
      <c r="I46" s="361"/>
      <c r="J46" s="362"/>
      <c r="K46" s="124"/>
    </row>
    <row r="47" spans="2:18" x14ac:dyDescent="0.25">
      <c r="B47" s="347"/>
      <c r="C47" s="344"/>
      <c r="D47" s="344"/>
      <c r="E47" s="344"/>
      <c r="F47" s="344"/>
      <c r="G47" s="34" t="s">
        <v>69</v>
      </c>
      <c r="H47" s="34" t="s">
        <v>237</v>
      </c>
      <c r="I47" s="34" t="s">
        <v>28</v>
      </c>
      <c r="J47" s="34" t="s">
        <v>238</v>
      </c>
      <c r="K47" s="124"/>
    </row>
    <row r="48" spans="2:18" s="238" customFormat="1" x14ac:dyDescent="0.25">
      <c r="B48" s="259" t="str">
        <f>B39</f>
        <v>Ruta principal</v>
      </c>
      <c r="C48" s="258">
        <f>C39</f>
        <v>1</v>
      </c>
      <c r="D48" s="258">
        <f t="shared" ref="D48:F48" si="4">D39</f>
        <v>2</v>
      </c>
      <c r="E48" s="258">
        <f t="shared" si="4"/>
        <v>4</v>
      </c>
      <c r="F48" s="258" t="str">
        <f t="shared" si="4"/>
        <v>N/A</v>
      </c>
      <c r="G48" s="262">
        <v>0</v>
      </c>
      <c r="H48" s="262">
        <v>0</v>
      </c>
      <c r="I48" s="262">
        <v>0</v>
      </c>
      <c r="J48" s="262">
        <v>0</v>
      </c>
      <c r="K48" s="124"/>
    </row>
    <row r="49" spans="2:15" x14ac:dyDescent="0.25">
      <c r="B49" s="78" t="s">
        <v>241</v>
      </c>
      <c r="C49" s="21">
        <f t="shared" ref="C49:F53" si="5">C40</f>
        <v>1</v>
      </c>
      <c r="D49" s="21">
        <f t="shared" si="5"/>
        <v>2</v>
      </c>
      <c r="E49" s="21">
        <f t="shared" si="5"/>
        <v>6</v>
      </c>
      <c r="F49" s="21">
        <f t="shared" si="5"/>
        <v>7</v>
      </c>
      <c r="G49" s="239">
        <f t="shared" ref="G49:J53" si="6">IF(C40=$C$39,0,IF(C40=$D$39,0,IF(C40=$E$39,0,IF(C40=$F$39,0,$C$33))))</f>
        <v>0</v>
      </c>
      <c r="H49" s="239">
        <f t="shared" si="6"/>
        <v>0</v>
      </c>
      <c r="I49" s="239">
        <f t="shared" si="6"/>
        <v>5458.5</v>
      </c>
      <c r="J49" s="239">
        <f t="shared" si="6"/>
        <v>5458.5</v>
      </c>
      <c r="K49" s="124"/>
    </row>
    <row r="50" spans="2:15" x14ac:dyDescent="0.25">
      <c r="B50" s="78" t="s">
        <v>240</v>
      </c>
      <c r="C50" s="21">
        <f t="shared" si="5"/>
        <v>1</v>
      </c>
      <c r="D50" s="21">
        <f t="shared" si="5"/>
        <v>3</v>
      </c>
      <c r="E50" s="21">
        <f t="shared" si="5"/>
        <v>4</v>
      </c>
      <c r="F50" s="21" t="str">
        <f t="shared" si="5"/>
        <v>N/A</v>
      </c>
      <c r="G50" s="239">
        <f t="shared" si="6"/>
        <v>0</v>
      </c>
      <c r="H50" s="239">
        <f t="shared" si="6"/>
        <v>5458.5</v>
      </c>
      <c r="I50" s="239">
        <f t="shared" si="6"/>
        <v>0</v>
      </c>
      <c r="J50" s="239">
        <f t="shared" si="6"/>
        <v>0</v>
      </c>
      <c r="K50" s="129"/>
    </row>
    <row r="51" spans="2:15" x14ac:dyDescent="0.25">
      <c r="B51" s="78" t="s">
        <v>242</v>
      </c>
      <c r="C51" s="21">
        <f t="shared" si="5"/>
        <v>1</v>
      </c>
      <c r="D51" s="21">
        <f t="shared" si="5"/>
        <v>3</v>
      </c>
      <c r="E51" s="21">
        <f t="shared" si="5"/>
        <v>6</v>
      </c>
      <c r="F51" s="21">
        <f t="shared" si="5"/>
        <v>7</v>
      </c>
      <c r="G51" s="239">
        <f t="shared" si="6"/>
        <v>0</v>
      </c>
      <c r="H51" s="239">
        <f t="shared" si="6"/>
        <v>5458.5</v>
      </c>
      <c r="I51" s="239">
        <f t="shared" si="6"/>
        <v>5458.5</v>
      </c>
      <c r="J51" s="239">
        <f t="shared" si="6"/>
        <v>5458.5</v>
      </c>
      <c r="K51" s="129"/>
    </row>
    <row r="52" spans="2:15" x14ac:dyDescent="0.25">
      <c r="B52" s="78" t="s">
        <v>243</v>
      </c>
      <c r="C52" s="21">
        <f t="shared" si="5"/>
        <v>5</v>
      </c>
      <c r="D52" s="21">
        <f t="shared" si="5"/>
        <v>6</v>
      </c>
      <c r="E52" s="21">
        <f t="shared" si="5"/>
        <v>4</v>
      </c>
      <c r="F52" s="21" t="str">
        <f t="shared" si="5"/>
        <v>N/A</v>
      </c>
      <c r="G52" s="239">
        <f t="shared" si="6"/>
        <v>5458.5</v>
      </c>
      <c r="H52" s="239">
        <f t="shared" si="6"/>
        <v>5458.5</v>
      </c>
      <c r="I52" s="239">
        <f t="shared" si="6"/>
        <v>0</v>
      </c>
      <c r="J52" s="239">
        <f t="shared" si="6"/>
        <v>0</v>
      </c>
      <c r="K52" s="129"/>
    </row>
    <row r="53" spans="2:15" x14ac:dyDescent="0.25">
      <c r="B53" s="78" t="s">
        <v>244</v>
      </c>
      <c r="C53" s="21">
        <f t="shared" si="5"/>
        <v>5</v>
      </c>
      <c r="D53" s="21">
        <f t="shared" si="5"/>
        <v>7</v>
      </c>
      <c r="E53" s="21" t="str">
        <f t="shared" si="5"/>
        <v>N/A</v>
      </c>
      <c r="F53" s="21" t="str">
        <f t="shared" si="5"/>
        <v>N/A</v>
      </c>
      <c r="G53" s="239">
        <f t="shared" si="6"/>
        <v>5458.5</v>
      </c>
      <c r="H53" s="239">
        <f t="shared" si="6"/>
        <v>5458.5</v>
      </c>
      <c r="I53" s="239">
        <f t="shared" si="6"/>
        <v>0</v>
      </c>
      <c r="J53" s="239">
        <f t="shared" si="6"/>
        <v>0</v>
      </c>
      <c r="K53" s="129"/>
    </row>
    <row r="54" spans="2:15" x14ac:dyDescent="0.25">
      <c r="B54" s="170" t="s">
        <v>76</v>
      </c>
      <c r="C54" s="173" t="s">
        <v>458</v>
      </c>
      <c r="D54" s="44"/>
      <c r="E54" s="44"/>
      <c r="F54" s="44"/>
      <c r="G54" s="129"/>
      <c r="H54" s="129"/>
      <c r="I54" s="129"/>
      <c r="J54" s="129"/>
      <c r="K54" s="129"/>
    </row>
    <row r="55" spans="2:15" x14ac:dyDescent="0.25">
      <c r="K55" s="129"/>
    </row>
    <row r="56" spans="2:15" x14ac:dyDescent="0.25">
      <c r="B56" s="346" t="s">
        <v>286</v>
      </c>
      <c r="C56" s="343" t="s">
        <v>69</v>
      </c>
      <c r="D56" s="343" t="s">
        <v>237</v>
      </c>
      <c r="E56" s="343" t="s">
        <v>28</v>
      </c>
      <c r="F56" s="343" t="s">
        <v>238</v>
      </c>
      <c r="G56" s="360" t="s">
        <v>394</v>
      </c>
      <c r="H56" s="361"/>
      <c r="I56" s="361"/>
      <c r="J56" s="362"/>
      <c r="K56" s="129"/>
    </row>
    <row r="57" spans="2:15" x14ac:dyDescent="0.25">
      <c r="B57" s="347"/>
      <c r="C57" s="344"/>
      <c r="D57" s="344"/>
      <c r="E57" s="344"/>
      <c r="F57" s="344"/>
      <c r="G57" s="34" t="s">
        <v>69</v>
      </c>
      <c r="H57" s="34" t="s">
        <v>237</v>
      </c>
      <c r="I57" s="34" t="s">
        <v>28</v>
      </c>
      <c r="J57" s="34" t="s">
        <v>238</v>
      </c>
      <c r="K57" s="33"/>
    </row>
    <row r="58" spans="2:15" s="238" customFormat="1" x14ac:dyDescent="0.25">
      <c r="B58" s="259" t="str">
        <f>B48</f>
        <v>Ruta principal</v>
      </c>
      <c r="C58" s="258">
        <f>C48</f>
        <v>1</v>
      </c>
      <c r="D58" s="258">
        <f t="shared" ref="D58:F58" si="7">D48</f>
        <v>2</v>
      </c>
      <c r="E58" s="258">
        <f t="shared" si="7"/>
        <v>4</v>
      </c>
      <c r="F58" s="258" t="str">
        <f t="shared" si="7"/>
        <v>N/A</v>
      </c>
      <c r="G58" s="260">
        <f>G39</f>
        <v>20554</v>
      </c>
      <c r="H58" s="260">
        <f t="shared" ref="H58:J58" si="8">H39</f>
        <v>8833.5</v>
      </c>
      <c r="I58" s="260">
        <f t="shared" si="8"/>
        <v>5458.5</v>
      </c>
      <c r="J58" s="260">
        <f t="shared" si="8"/>
        <v>0</v>
      </c>
      <c r="K58" s="33"/>
    </row>
    <row r="59" spans="2:15" x14ac:dyDescent="0.25">
      <c r="B59" s="78" t="s">
        <v>241</v>
      </c>
      <c r="C59" s="21">
        <f t="shared" ref="C59:F63" si="9">C49</f>
        <v>1</v>
      </c>
      <c r="D59" s="21">
        <f t="shared" si="9"/>
        <v>2</v>
      </c>
      <c r="E59" s="21">
        <f t="shared" si="9"/>
        <v>6</v>
      </c>
      <c r="F59" s="21">
        <f t="shared" si="9"/>
        <v>7</v>
      </c>
      <c r="G59" s="242">
        <f t="shared" ref="G59:J63" si="10">G40+G49</f>
        <v>20554</v>
      </c>
      <c r="H59" s="242">
        <f t="shared" si="10"/>
        <v>8833.5</v>
      </c>
      <c r="I59" s="242">
        <f t="shared" si="10"/>
        <v>8390.5</v>
      </c>
      <c r="J59" s="242">
        <f t="shared" si="10"/>
        <v>28203.5</v>
      </c>
      <c r="K59" s="223"/>
    </row>
    <row r="60" spans="2:15" x14ac:dyDescent="0.25">
      <c r="B60" s="78" t="s">
        <v>240</v>
      </c>
      <c r="C60" s="21">
        <f t="shared" si="9"/>
        <v>1</v>
      </c>
      <c r="D60" s="21">
        <f t="shared" si="9"/>
        <v>3</v>
      </c>
      <c r="E60" s="21">
        <f t="shared" si="9"/>
        <v>4</v>
      </c>
      <c r="F60" s="21" t="str">
        <f t="shared" si="9"/>
        <v>N/A</v>
      </c>
      <c r="G60" s="242">
        <f t="shared" si="10"/>
        <v>20554</v>
      </c>
      <c r="H60" s="242">
        <f t="shared" si="10"/>
        <v>8094</v>
      </c>
      <c r="I60" s="242">
        <f t="shared" si="10"/>
        <v>5458.5</v>
      </c>
      <c r="J60" s="242">
        <f t="shared" si="10"/>
        <v>0</v>
      </c>
      <c r="K60" s="223"/>
      <c r="L60" s="147"/>
      <c r="M60" s="28"/>
      <c r="N60" s="28"/>
      <c r="O60" s="28"/>
    </row>
    <row r="61" spans="2:15" x14ac:dyDescent="0.25">
      <c r="B61" s="78" t="s">
        <v>242</v>
      </c>
      <c r="C61" s="21">
        <f t="shared" si="9"/>
        <v>1</v>
      </c>
      <c r="D61" s="21">
        <f t="shared" si="9"/>
        <v>3</v>
      </c>
      <c r="E61" s="21">
        <f t="shared" si="9"/>
        <v>6</v>
      </c>
      <c r="F61" s="21">
        <f t="shared" si="9"/>
        <v>7</v>
      </c>
      <c r="G61" s="242">
        <f t="shared" si="10"/>
        <v>20554</v>
      </c>
      <c r="H61" s="242">
        <f t="shared" si="10"/>
        <v>8094</v>
      </c>
      <c r="I61" s="242">
        <f t="shared" si="10"/>
        <v>8390.5</v>
      </c>
      <c r="J61" s="242">
        <f t="shared" si="10"/>
        <v>28203.5</v>
      </c>
      <c r="K61" s="223"/>
      <c r="L61" s="147"/>
      <c r="M61" s="28"/>
      <c r="N61" s="28"/>
      <c r="O61" s="28"/>
    </row>
    <row r="62" spans="2:15" x14ac:dyDescent="0.25">
      <c r="B62" s="78" t="s">
        <v>243</v>
      </c>
      <c r="C62" s="21">
        <f t="shared" si="9"/>
        <v>5</v>
      </c>
      <c r="D62" s="21">
        <f t="shared" si="9"/>
        <v>6</v>
      </c>
      <c r="E62" s="21">
        <f t="shared" si="9"/>
        <v>4</v>
      </c>
      <c r="F62" s="21" t="str">
        <f t="shared" si="9"/>
        <v>N/A</v>
      </c>
      <c r="G62" s="242">
        <f t="shared" si="10"/>
        <v>9368.5</v>
      </c>
      <c r="H62" s="242">
        <f t="shared" si="10"/>
        <v>8390.5</v>
      </c>
      <c r="I62" s="242">
        <f t="shared" si="10"/>
        <v>5458.5</v>
      </c>
      <c r="J62" s="242">
        <f t="shared" si="10"/>
        <v>0</v>
      </c>
      <c r="K62" s="223"/>
      <c r="L62" s="147"/>
      <c r="M62" s="28"/>
      <c r="N62" s="28"/>
      <c r="O62" s="28"/>
    </row>
    <row r="63" spans="2:15" x14ac:dyDescent="0.25">
      <c r="B63" s="78" t="s">
        <v>244</v>
      </c>
      <c r="C63" s="21">
        <f t="shared" si="9"/>
        <v>5</v>
      </c>
      <c r="D63" s="21">
        <f t="shared" si="9"/>
        <v>7</v>
      </c>
      <c r="E63" s="21" t="str">
        <f t="shared" si="9"/>
        <v>N/A</v>
      </c>
      <c r="F63" s="21" t="str">
        <f t="shared" si="9"/>
        <v>N/A</v>
      </c>
      <c r="G63" s="242">
        <f t="shared" si="10"/>
        <v>9368.5</v>
      </c>
      <c r="H63" s="242">
        <f t="shared" si="10"/>
        <v>28203.5</v>
      </c>
      <c r="I63" s="242">
        <f t="shared" si="10"/>
        <v>0</v>
      </c>
      <c r="J63" s="242">
        <f t="shared" si="10"/>
        <v>0</v>
      </c>
      <c r="K63" s="223"/>
      <c r="L63" s="147"/>
      <c r="M63" s="28"/>
      <c r="N63" s="28"/>
      <c r="O63" s="28"/>
    </row>
    <row r="64" spans="2:15" x14ac:dyDescent="0.25">
      <c r="B64" s="26" t="s">
        <v>79</v>
      </c>
      <c r="C64" s="132" t="s">
        <v>393</v>
      </c>
      <c r="D64" s="149"/>
      <c r="E64" s="149"/>
      <c r="F64" s="149"/>
      <c r="G64" s="129"/>
      <c r="H64" s="33"/>
      <c r="I64" s="33"/>
      <c r="J64" s="33"/>
      <c r="K64" s="223"/>
      <c r="L64" s="147"/>
      <c r="M64" s="28"/>
      <c r="N64" s="28"/>
      <c r="O64" s="28"/>
    </row>
    <row r="65" spans="2:17" x14ac:dyDescent="0.25">
      <c r="B65" s="26"/>
      <c r="C65" s="132"/>
      <c r="D65" s="149"/>
      <c r="E65" s="149"/>
      <c r="F65" s="149"/>
      <c r="G65" s="129"/>
      <c r="H65" s="33"/>
      <c r="I65" s="33"/>
      <c r="J65" s="33"/>
      <c r="K65" s="223"/>
      <c r="L65" s="147"/>
      <c r="M65" s="28"/>
      <c r="N65" s="28"/>
      <c r="O65" s="28"/>
    </row>
    <row r="66" spans="2:17" x14ac:dyDescent="0.25">
      <c r="B66" s="346" t="s">
        <v>286</v>
      </c>
      <c r="C66" s="336" t="s">
        <v>444</v>
      </c>
      <c r="D66" s="336"/>
      <c r="E66" s="336"/>
      <c r="F66" s="336"/>
      <c r="G66" s="360" t="s">
        <v>394</v>
      </c>
      <c r="H66" s="361"/>
      <c r="I66" s="361"/>
      <c r="J66" s="362"/>
      <c r="K66" s="243"/>
      <c r="L66" s="147"/>
      <c r="M66" s="28"/>
      <c r="N66" s="28"/>
      <c r="O66" s="28"/>
    </row>
    <row r="67" spans="2:17" x14ac:dyDescent="0.25">
      <c r="B67" s="347"/>
      <c r="C67" s="244" t="s">
        <v>69</v>
      </c>
      <c r="D67" s="244" t="s">
        <v>237</v>
      </c>
      <c r="E67" s="244" t="s">
        <v>28</v>
      </c>
      <c r="F67" s="244" t="s">
        <v>238</v>
      </c>
      <c r="G67" s="34" t="s">
        <v>69</v>
      </c>
      <c r="H67" s="34" t="s">
        <v>237</v>
      </c>
      <c r="I67" s="34" t="s">
        <v>28</v>
      </c>
      <c r="J67" s="34" t="s">
        <v>238</v>
      </c>
    </row>
    <row r="68" spans="2:17" s="238" customFormat="1" x14ac:dyDescent="0.25">
      <c r="B68" s="259" t="str">
        <f>B58</f>
        <v>Ruta principal</v>
      </c>
      <c r="C68" s="234" t="str">
        <f t="shared" ref="C68:C73" si="11">IF(C58=$C$25,$C$30,IF(C58=$D$25,$D$30,IF(C58=$E$25,$E$30,IF(C58=$F$25,$F$30,IF(C58=$G$25,$G$30,IF(C58=$H$25,$H$30,IF(C58=$I$25,$I$30,0)))))))</f>
        <v>CUOTA 2 Carriles</v>
      </c>
      <c r="D68" s="234" t="str">
        <f t="shared" ref="D68:F68" si="12">IF(D58=$C$25,$C$30,IF(D58=$D$25,$D$30,IF(D58=$E$25,$E$30,IF(D58=$F$25,$F$30,IF(D58=$G$25,$G$30,IF(D58=$H$25,$H$30,IF(D58=$I$25,$I$30,0)))))))</f>
        <v>"B" 2 Carriles</v>
      </c>
      <c r="E68" s="234" t="str">
        <f t="shared" si="12"/>
        <v>"C" 2 Carriles</v>
      </c>
      <c r="F68" s="234">
        <f t="shared" si="12"/>
        <v>0</v>
      </c>
      <c r="G68" s="261">
        <f>G58/1000</f>
        <v>20.553999999999998</v>
      </c>
      <c r="H68" s="261">
        <f t="shared" ref="H68:J68" si="13">H58/1000</f>
        <v>8.8335000000000008</v>
      </c>
      <c r="I68" s="261">
        <f t="shared" si="13"/>
        <v>5.4584999999999999</v>
      </c>
      <c r="J68" s="261">
        <f t="shared" si="13"/>
        <v>0</v>
      </c>
    </row>
    <row r="69" spans="2:17" x14ac:dyDescent="0.25">
      <c r="B69" s="78" t="s">
        <v>241</v>
      </c>
      <c r="C69" s="218" t="str">
        <f t="shared" si="11"/>
        <v>CUOTA 2 Carriles</v>
      </c>
      <c r="D69" s="218" t="str">
        <f t="shared" ref="D69:F73" si="14">IF(D59=$C$25,$C$30,IF(D59=$D$25,$D$30,IF(D59=$E$25,$E$30,IF(D59=$F$25,$F$30,IF(D59=$G$25,$G$30,IF(D59=$H$25,$H$30,IF(D59=$I$25,$I$30,0)))))))</f>
        <v>"B" 2 Carriles</v>
      </c>
      <c r="E69" s="218" t="str">
        <f t="shared" si="14"/>
        <v>CUOTA 2 Carriles</v>
      </c>
      <c r="F69" s="218" t="str">
        <f t="shared" si="14"/>
        <v>CUOTA 4+ Carriles</v>
      </c>
      <c r="G69" s="242">
        <f>G59/1000</f>
        <v>20.553999999999998</v>
      </c>
      <c r="H69" s="242">
        <f t="shared" ref="H69:J69" si="15">H59/1000</f>
        <v>8.8335000000000008</v>
      </c>
      <c r="I69" s="242">
        <f t="shared" si="15"/>
        <v>8.3904999999999994</v>
      </c>
      <c r="J69" s="242">
        <f t="shared" si="15"/>
        <v>28.203499999999998</v>
      </c>
    </row>
    <row r="70" spans="2:17" x14ac:dyDescent="0.25">
      <c r="B70" s="78" t="s">
        <v>240</v>
      </c>
      <c r="C70" s="218" t="str">
        <f t="shared" si="11"/>
        <v>CUOTA 2 Carriles</v>
      </c>
      <c r="D70" s="218" t="str">
        <f t="shared" si="14"/>
        <v>CUOTA 2 Carriles</v>
      </c>
      <c r="E70" s="218" t="str">
        <f t="shared" si="14"/>
        <v>"C" 2 Carriles</v>
      </c>
      <c r="F70" s="218">
        <f t="shared" si="14"/>
        <v>0</v>
      </c>
      <c r="G70" s="242">
        <f t="shared" ref="G70:J70" si="16">G60/1000</f>
        <v>20.553999999999998</v>
      </c>
      <c r="H70" s="242">
        <f t="shared" si="16"/>
        <v>8.0939999999999994</v>
      </c>
      <c r="I70" s="242">
        <f t="shared" si="16"/>
        <v>5.4584999999999999</v>
      </c>
      <c r="J70" s="242">
        <f t="shared" si="16"/>
        <v>0</v>
      </c>
    </row>
    <row r="71" spans="2:17" x14ac:dyDescent="0.25">
      <c r="B71" s="78" t="s">
        <v>242</v>
      </c>
      <c r="C71" s="218" t="str">
        <f t="shared" si="11"/>
        <v>CUOTA 2 Carriles</v>
      </c>
      <c r="D71" s="218" t="str">
        <f t="shared" si="14"/>
        <v>CUOTA 2 Carriles</v>
      </c>
      <c r="E71" s="218" t="str">
        <f t="shared" si="14"/>
        <v>CUOTA 2 Carriles</v>
      </c>
      <c r="F71" s="218" t="str">
        <f t="shared" si="14"/>
        <v>CUOTA 4+ Carriles</v>
      </c>
      <c r="G71" s="242">
        <f t="shared" ref="G71:J71" si="17">G61/1000</f>
        <v>20.553999999999998</v>
      </c>
      <c r="H71" s="242">
        <f t="shared" si="17"/>
        <v>8.0939999999999994</v>
      </c>
      <c r="I71" s="242">
        <f t="shared" si="17"/>
        <v>8.3904999999999994</v>
      </c>
      <c r="J71" s="242">
        <f t="shared" si="17"/>
        <v>28.203499999999998</v>
      </c>
    </row>
    <row r="72" spans="2:17" x14ac:dyDescent="0.25">
      <c r="B72" s="78" t="s">
        <v>243</v>
      </c>
      <c r="C72" s="218" t="str">
        <f t="shared" si="11"/>
        <v>CUOTA 2 Carriles</v>
      </c>
      <c r="D72" s="218" t="str">
        <f t="shared" si="14"/>
        <v>CUOTA 2 Carriles</v>
      </c>
      <c r="E72" s="218" t="str">
        <f t="shared" si="14"/>
        <v>"C" 2 Carriles</v>
      </c>
      <c r="F72" s="218">
        <f t="shared" si="14"/>
        <v>0</v>
      </c>
      <c r="G72" s="242">
        <f t="shared" ref="G72:J72" si="18">G62/1000</f>
        <v>9.3684999999999992</v>
      </c>
      <c r="H72" s="242">
        <f t="shared" si="18"/>
        <v>8.3904999999999994</v>
      </c>
      <c r="I72" s="242">
        <f t="shared" si="18"/>
        <v>5.4584999999999999</v>
      </c>
      <c r="J72" s="242">
        <f t="shared" si="18"/>
        <v>0</v>
      </c>
    </row>
    <row r="73" spans="2:17" x14ac:dyDescent="0.25">
      <c r="B73" s="78" t="s">
        <v>244</v>
      </c>
      <c r="C73" s="218" t="str">
        <f t="shared" si="11"/>
        <v>CUOTA 2 Carriles</v>
      </c>
      <c r="D73" s="218" t="str">
        <f t="shared" si="14"/>
        <v>CUOTA 4+ Carriles</v>
      </c>
      <c r="E73" s="218">
        <f t="shared" si="14"/>
        <v>0</v>
      </c>
      <c r="F73" s="218">
        <f t="shared" si="14"/>
        <v>0</v>
      </c>
      <c r="G73" s="242">
        <f t="shared" ref="G73:J73" si="19">G63/1000</f>
        <v>9.3684999999999992</v>
      </c>
      <c r="H73" s="242">
        <f t="shared" si="19"/>
        <v>28.203499999999998</v>
      </c>
      <c r="I73" s="242">
        <f t="shared" si="19"/>
        <v>0</v>
      </c>
      <c r="J73" s="242">
        <f t="shared" si="19"/>
        <v>0</v>
      </c>
    </row>
    <row r="74" spans="2:17" x14ac:dyDescent="0.25">
      <c r="B74" s="26" t="s">
        <v>79</v>
      </c>
      <c r="C74" s="132" t="s">
        <v>393</v>
      </c>
    </row>
    <row r="75" spans="2:17" x14ac:dyDescent="0.25">
      <c r="B75" s="26"/>
      <c r="C75" s="132"/>
      <c r="L75" s="257" t="s">
        <v>348</v>
      </c>
      <c r="M75" s="8" t="s">
        <v>404</v>
      </c>
      <c r="N75" s="5"/>
      <c r="O75" s="219" t="s">
        <v>69</v>
      </c>
      <c r="P75" s="219" t="s">
        <v>237</v>
      </c>
      <c r="Q75" s="219" t="s">
        <v>28</v>
      </c>
    </row>
    <row r="76" spans="2:17" s="4" customFormat="1" x14ac:dyDescent="0.25">
      <c r="B76" s="346" t="s">
        <v>286</v>
      </c>
      <c r="C76" s="336" t="s">
        <v>444</v>
      </c>
      <c r="D76" s="336"/>
      <c r="E76" s="336"/>
      <c r="F76" s="336"/>
      <c r="G76" s="360" t="s">
        <v>443</v>
      </c>
      <c r="H76" s="361"/>
      <c r="I76" s="361"/>
      <c r="J76" s="362"/>
      <c r="L76" s="245" t="str">
        <f>LISTA!C17</f>
        <v>CUOTA 4+ Carriles</v>
      </c>
      <c r="M76" s="5" t="s">
        <v>405</v>
      </c>
      <c r="N76" s="5"/>
      <c r="O76" s="219">
        <v>-2.0000000000000001E-4</v>
      </c>
      <c r="P76" s="219">
        <v>4.6600000000000003E-2</v>
      </c>
      <c r="Q76" s="219">
        <v>8.9999999999999993E-3</v>
      </c>
    </row>
    <row r="77" spans="2:17" x14ac:dyDescent="0.25">
      <c r="B77" s="347"/>
      <c r="C77" s="231" t="s">
        <v>69</v>
      </c>
      <c r="D77" s="231" t="s">
        <v>237</v>
      </c>
      <c r="E77" s="231" t="s">
        <v>28</v>
      </c>
      <c r="F77" s="231" t="s">
        <v>238</v>
      </c>
      <c r="G77" s="34" t="s">
        <v>69</v>
      </c>
      <c r="H77" s="34" t="s">
        <v>237</v>
      </c>
      <c r="I77" s="34" t="s">
        <v>28</v>
      </c>
      <c r="J77" s="34" t="s">
        <v>238</v>
      </c>
      <c r="L77" s="245" t="str">
        <f>LISTA!C14</f>
        <v>CUOTA 2 Carriles</v>
      </c>
      <c r="M77" s="5" t="s">
        <v>410</v>
      </c>
      <c r="N77" s="5"/>
      <c r="O77" s="219">
        <v>-2.5000000000000001E-3</v>
      </c>
      <c r="P77" s="219">
        <v>7.4300000000000005E-2</v>
      </c>
      <c r="Q77" s="219">
        <v>7.1000000000000004E-3</v>
      </c>
    </row>
    <row r="78" spans="2:17" s="238" customFormat="1" x14ac:dyDescent="0.25">
      <c r="B78" s="259" t="str">
        <f>B68</f>
        <v>Ruta principal</v>
      </c>
      <c r="C78" s="263" t="str">
        <f t="shared" ref="C78:F78" si="20">C68</f>
        <v>CUOTA 2 Carriles</v>
      </c>
      <c r="D78" s="292" t="str">
        <f t="shared" si="20"/>
        <v>"B" 2 Carriles</v>
      </c>
      <c r="E78" s="292" t="str">
        <f t="shared" si="20"/>
        <v>"C" 2 Carriles</v>
      </c>
      <c r="F78" s="292">
        <f t="shared" si="20"/>
        <v>0</v>
      </c>
      <c r="G78" s="261">
        <f t="shared" ref="G78:J83" si="21">IF(C78=0,0,INDEX($O$76:$Q$83,MATCH(C78,$L$76:$L$83,0),1)*G68*G68+INDEX($O$76:$Q$83,MATCH(C78,$L$76:$L$83,0),2)*G68+INDEX($O$76:$Q$83,MATCH(C78,$L$76:$L$83,0),3))</f>
        <v>0.47809491000000015</v>
      </c>
      <c r="H78" s="261">
        <f t="shared" si="21"/>
        <v>0.48228821107500003</v>
      </c>
      <c r="I78" s="261">
        <f t="shared" si="21"/>
        <v>0.31940826107499998</v>
      </c>
      <c r="J78" s="261">
        <f t="shared" si="21"/>
        <v>0</v>
      </c>
      <c r="L78" s="245" t="str">
        <f>LISTA!C15</f>
        <v>"A" 4+ Carriles</v>
      </c>
      <c r="M78" s="5" t="s">
        <v>413</v>
      </c>
      <c r="N78" s="5"/>
      <c r="O78" s="219">
        <v>-2.9999999999999997E-4</v>
      </c>
      <c r="P78" s="219">
        <v>4.7300000000000002E-2</v>
      </c>
      <c r="Q78" s="219">
        <v>8.3799999999999999E-2</v>
      </c>
    </row>
    <row r="79" spans="2:17" x14ac:dyDescent="0.25">
      <c r="B79" s="78" t="s">
        <v>241</v>
      </c>
      <c r="C79" s="218" t="str">
        <f t="shared" ref="C79:F83" si="22">C69</f>
        <v>CUOTA 2 Carriles</v>
      </c>
      <c r="D79" s="218" t="str">
        <f t="shared" si="22"/>
        <v>"B" 2 Carriles</v>
      </c>
      <c r="E79" s="218" t="str">
        <f t="shared" si="22"/>
        <v>CUOTA 2 Carriles</v>
      </c>
      <c r="F79" s="218" t="str">
        <f t="shared" si="22"/>
        <v>CUOTA 4+ Carriles</v>
      </c>
      <c r="G79" s="242">
        <f t="shared" si="21"/>
        <v>0.47809491000000015</v>
      </c>
      <c r="H79" s="242">
        <f t="shared" si="21"/>
        <v>0.48228821107500003</v>
      </c>
      <c r="I79" s="242">
        <f t="shared" si="21"/>
        <v>0.45451292437500002</v>
      </c>
      <c r="J79" s="242">
        <f t="shared" si="21"/>
        <v>1.1641956175499999</v>
      </c>
      <c r="K79" s="5"/>
      <c r="L79" s="245" t="str">
        <f>LISTA!C10</f>
        <v>"A" 2 Carriles</v>
      </c>
      <c r="M79" s="5" t="s">
        <v>416</v>
      </c>
      <c r="N79" s="5"/>
      <c r="O79" s="219">
        <v>-1E-3</v>
      </c>
      <c r="P79" s="219">
        <v>6.54E-2</v>
      </c>
      <c r="Q79" s="219">
        <v>-2.3300000000000001E-2</v>
      </c>
    </row>
    <row r="80" spans="2:17" x14ac:dyDescent="0.25">
      <c r="B80" s="78" t="s">
        <v>240</v>
      </c>
      <c r="C80" s="218" t="str">
        <f t="shared" si="22"/>
        <v>CUOTA 2 Carriles</v>
      </c>
      <c r="D80" s="218" t="str">
        <f t="shared" si="22"/>
        <v>CUOTA 2 Carriles</v>
      </c>
      <c r="E80" s="218" t="str">
        <f t="shared" si="22"/>
        <v>"C" 2 Carriles</v>
      </c>
      <c r="F80" s="218">
        <f t="shared" si="22"/>
        <v>0</v>
      </c>
      <c r="G80" s="242">
        <f t="shared" si="21"/>
        <v>0.47809491000000015</v>
      </c>
      <c r="H80" s="242">
        <f t="shared" si="21"/>
        <v>0.44470211000000004</v>
      </c>
      <c r="I80" s="242">
        <f t="shared" si="21"/>
        <v>0.31940826107499998</v>
      </c>
      <c r="J80" s="242">
        <f t="shared" si="21"/>
        <v>0</v>
      </c>
      <c r="L80" s="245" t="str">
        <f>LISTA!C16</f>
        <v>"B" 4+ Carriles</v>
      </c>
      <c r="M80" s="5" t="s">
        <v>419</v>
      </c>
      <c r="N80" s="5"/>
      <c r="O80" s="219">
        <v>-5.0000000000000001E-4</v>
      </c>
      <c r="P80" s="219">
        <v>5.7299999999999997E-2</v>
      </c>
      <c r="Q80" s="219">
        <v>8.6599999999999996E-2</v>
      </c>
    </row>
    <row r="81" spans="2:18" x14ac:dyDescent="0.25">
      <c r="B81" s="78" t="s">
        <v>242</v>
      </c>
      <c r="C81" s="218" t="str">
        <f t="shared" si="22"/>
        <v>CUOTA 2 Carriles</v>
      </c>
      <c r="D81" s="218" t="str">
        <f t="shared" si="22"/>
        <v>CUOTA 2 Carriles</v>
      </c>
      <c r="E81" s="218" t="str">
        <f t="shared" si="22"/>
        <v>CUOTA 2 Carriles</v>
      </c>
      <c r="F81" s="218" t="str">
        <f t="shared" si="22"/>
        <v>CUOTA 4+ Carriles</v>
      </c>
      <c r="G81" s="242">
        <f t="shared" si="21"/>
        <v>0.47809491000000015</v>
      </c>
      <c r="H81" s="242">
        <f t="shared" si="21"/>
        <v>0.44470211000000004</v>
      </c>
      <c r="I81" s="242">
        <f t="shared" si="21"/>
        <v>0.45451292437500002</v>
      </c>
      <c r="J81" s="242">
        <f t="shared" si="21"/>
        <v>1.1641956175499999</v>
      </c>
      <c r="L81" s="245" t="str">
        <f>LISTA!C11</f>
        <v>"B" 2 Carriles</v>
      </c>
      <c r="M81" s="5" t="s">
        <v>422</v>
      </c>
      <c r="N81" s="5"/>
      <c r="O81" s="219">
        <v>-1.2999999999999999E-3</v>
      </c>
      <c r="P81" s="219">
        <v>6.8900000000000003E-2</v>
      </c>
      <c r="Q81" s="219">
        <v>-2.4899999999999999E-2</v>
      </c>
    </row>
    <row r="82" spans="2:18" x14ac:dyDescent="0.25">
      <c r="B82" s="78" t="s">
        <v>243</v>
      </c>
      <c r="C82" s="218" t="str">
        <f t="shared" si="22"/>
        <v>CUOTA 2 Carriles</v>
      </c>
      <c r="D82" s="218" t="str">
        <f t="shared" si="22"/>
        <v>CUOTA 2 Carriles</v>
      </c>
      <c r="E82" s="218" t="str">
        <f t="shared" si="22"/>
        <v>"C" 2 Carriles</v>
      </c>
      <c r="F82" s="218">
        <f t="shared" si="22"/>
        <v>0</v>
      </c>
      <c r="G82" s="242">
        <f t="shared" si="21"/>
        <v>0.48375756937500003</v>
      </c>
      <c r="H82" s="242">
        <f t="shared" si="21"/>
        <v>0.45451292437500002</v>
      </c>
      <c r="I82" s="242">
        <f t="shared" si="21"/>
        <v>0.31940826107499998</v>
      </c>
      <c r="J82" s="242">
        <f t="shared" si="21"/>
        <v>0</v>
      </c>
      <c r="L82" s="245" t="str">
        <f>LISTA!C12</f>
        <v>"C" 2 Carriles</v>
      </c>
      <c r="M82" s="5" t="s">
        <v>425</v>
      </c>
      <c r="N82" s="5"/>
      <c r="O82" s="219">
        <v>-1.2999999999999999E-3</v>
      </c>
      <c r="P82" s="219">
        <v>7.7299999999999994E-2</v>
      </c>
      <c r="Q82" s="219">
        <v>-6.3799999999999996E-2</v>
      </c>
    </row>
    <row r="83" spans="2:18" x14ac:dyDescent="0.25">
      <c r="B83" s="78" t="s">
        <v>244</v>
      </c>
      <c r="C83" s="218" t="str">
        <f t="shared" si="22"/>
        <v>CUOTA 2 Carriles</v>
      </c>
      <c r="D83" s="218" t="str">
        <f t="shared" si="22"/>
        <v>CUOTA 4+ Carriles</v>
      </c>
      <c r="E83" s="218">
        <f t="shared" si="22"/>
        <v>0</v>
      </c>
      <c r="F83" s="218">
        <f t="shared" si="22"/>
        <v>0</v>
      </c>
      <c r="G83" s="242">
        <f t="shared" si="21"/>
        <v>0.48375756937500003</v>
      </c>
      <c r="H83" s="242">
        <f t="shared" si="21"/>
        <v>1.1641956175499999</v>
      </c>
      <c r="I83" s="242">
        <f t="shared" si="21"/>
        <v>0</v>
      </c>
      <c r="J83" s="242">
        <f t="shared" si="21"/>
        <v>0</v>
      </c>
      <c r="L83" s="245" t="str">
        <f>LISTA!C13</f>
        <v>"D" 2 Carriles</v>
      </c>
      <c r="M83" s="5" t="s">
        <v>428</v>
      </c>
      <c r="N83" s="5"/>
      <c r="O83" s="219">
        <v>-2.8999999999999998E-3</v>
      </c>
      <c r="P83" s="219">
        <v>7.8700000000000006E-2</v>
      </c>
      <c r="Q83" s="219">
        <v>-2.0799999999999999E-2</v>
      </c>
    </row>
    <row r="84" spans="2:18" x14ac:dyDescent="0.25">
      <c r="B84" s="26" t="s">
        <v>76</v>
      </c>
      <c r="C84" s="5" t="s">
        <v>403</v>
      </c>
    </row>
    <row r="85" spans="2:18" x14ac:dyDescent="0.25">
      <c r="B85" s="26"/>
      <c r="C85" s="5"/>
    </row>
    <row r="86" spans="2:18" ht="14.45" customHeight="1" x14ac:dyDescent="0.25">
      <c r="B86" s="346" t="s">
        <v>286</v>
      </c>
      <c r="C86" s="336" t="s">
        <v>445</v>
      </c>
      <c r="D86" s="336"/>
      <c r="E86" s="336"/>
      <c r="F86" s="336"/>
      <c r="G86" s="360" t="s">
        <v>459</v>
      </c>
      <c r="H86" s="361"/>
      <c r="I86" s="361"/>
      <c r="J86" s="361"/>
      <c r="K86" s="264" t="s">
        <v>431</v>
      </c>
      <c r="L86" s="229" t="s">
        <v>216</v>
      </c>
      <c r="M86" s="229" t="s">
        <v>450</v>
      </c>
      <c r="N86" s="229" t="s">
        <v>451</v>
      </c>
      <c r="O86" s="229" t="s">
        <v>452</v>
      </c>
      <c r="P86" s="229" t="s">
        <v>453</v>
      </c>
      <c r="Q86" s="229" t="s">
        <v>455</v>
      </c>
      <c r="R86" s="296" t="s">
        <v>510</v>
      </c>
    </row>
    <row r="87" spans="2:18" x14ac:dyDescent="0.25">
      <c r="B87" s="347"/>
      <c r="C87" s="230" t="s">
        <v>69</v>
      </c>
      <c r="D87" s="230" t="s">
        <v>237</v>
      </c>
      <c r="E87" s="230" t="s">
        <v>28</v>
      </c>
      <c r="F87" s="230" t="s">
        <v>238</v>
      </c>
      <c r="G87" s="34" t="s">
        <v>69</v>
      </c>
      <c r="H87" s="34" t="s">
        <v>237</v>
      </c>
      <c r="I87" s="34" t="s">
        <v>28</v>
      </c>
      <c r="J87" s="34" t="s">
        <v>238</v>
      </c>
      <c r="K87" s="264" t="s">
        <v>457</v>
      </c>
      <c r="L87" s="234" t="s">
        <v>345</v>
      </c>
      <c r="M87" s="234" t="s">
        <v>345</v>
      </c>
      <c r="N87" s="234" t="s">
        <v>14</v>
      </c>
      <c r="O87" s="234" t="s">
        <v>15</v>
      </c>
      <c r="P87" s="234" t="s">
        <v>454</v>
      </c>
      <c r="Q87" s="234" t="s">
        <v>279</v>
      </c>
      <c r="R87" s="302" t="s">
        <v>530</v>
      </c>
    </row>
    <row r="88" spans="2:18" s="238" customFormat="1" x14ac:dyDescent="0.25">
      <c r="B88" s="259" t="str">
        <f>B78</f>
        <v>Ruta principal</v>
      </c>
      <c r="C88" s="234">
        <f t="shared" ref="C88:F93" si="23">IF(C58=$C$25,$C$29,IF(C58=$D$25,$D$29,IF(C58=$E$25,$E$29,IF(C58=$F$25,$F$29,IF(C58=$G$25,$G$29,IF(C58=$H$25,$H$29,IF(C58=$I$25,$I$29,0)))))))</f>
        <v>45.4</v>
      </c>
      <c r="D88" s="234">
        <f t="shared" si="23"/>
        <v>23.3</v>
      </c>
      <c r="E88" s="234">
        <f t="shared" si="23"/>
        <v>53.9</v>
      </c>
      <c r="F88" s="234">
        <f t="shared" si="23"/>
        <v>0</v>
      </c>
      <c r="G88" s="261">
        <f t="shared" ref="G88:G93" si="24">G78*C88</f>
        <v>21.705508914000006</v>
      </c>
      <c r="H88" s="261">
        <f t="shared" ref="H88:I88" si="25">H78*D88</f>
        <v>11.237315318047502</v>
      </c>
      <c r="I88" s="261">
        <f t="shared" si="25"/>
        <v>17.216105271942499</v>
      </c>
      <c r="J88" s="261">
        <f>J78*F88</f>
        <v>0</v>
      </c>
      <c r="K88" s="261">
        <f>SUM(G88:J88)</f>
        <v>50.158929503990009</v>
      </c>
      <c r="L88" s="265">
        <f ca="1">K88*$C$23</f>
        <v>1056749.8214682785</v>
      </c>
      <c r="M88" s="261"/>
      <c r="N88" s="261"/>
      <c r="O88" s="261"/>
      <c r="P88" s="261"/>
      <c r="Q88" s="261"/>
      <c r="R88" s="301">
        <f ca="1">L88/$L$88</f>
        <v>1</v>
      </c>
    </row>
    <row r="89" spans="2:18" x14ac:dyDescent="0.25">
      <c r="B89" s="78" t="s">
        <v>241</v>
      </c>
      <c r="C89" s="234">
        <f t="shared" si="23"/>
        <v>45.4</v>
      </c>
      <c r="D89" s="234">
        <f t="shared" si="23"/>
        <v>23.3</v>
      </c>
      <c r="E89" s="234">
        <f t="shared" si="23"/>
        <v>39.1</v>
      </c>
      <c r="F89" s="234">
        <f t="shared" si="23"/>
        <v>67.2</v>
      </c>
      <c r="G89" s="242">
        <f t="shared" si="24"/>
        <v>21.705508914000006</v>
      </c>
      <c r="H89" s="242">
        <f t="shared" ref="H89:J89" si="26">H79*D89</f>
        <v>11.237315318047502</v>
      </c>
      <c r="I89" s="242">
        <f t="shared" si="26"/>
        <v>17.771455343062502</v>
      </c>
      <c r="J89" s="242">
        <f t="shared" si="26"/>
        <v>78.23394549935999</v>
      </c>
      <c r="K89" s="242">
        <f>SUM(G89:J89)</f>
        <v>128.94822507447</v>
      </c>
      <c r="L89" s="256">
        <f t="shared" ref="L89:L93" ca="1" si="27">K89*$C$23</f>
        <v>2716685.0483772382</v>
      </c>
      <c r="M89" s="256">
        <f ca="1">L89-$L$88</f>
        <v>1659935.2269089597</v>
      </c>
      <c r="N89" s="256">
        <f ca="1">M89/364</f>
        <v>4560.2616123872522</v>
      </c>
      <c r="O89" s="256">
        <f ca="1">N89/24</f>
        <v>190.01090051613551</v>
      </c>
      <c r="P89" s="256">
        <f ca="1">O89/60</f>
        <v>3.1668483419355917</v>
      </c>
      <c r="Q89" s="256">
        <f ca="1">P89/60</f>
        <v>5.2780805698926528E-2</v>
      </c>
      <c r="R89" s="301">
        <f t="shared" ref="R89:R93" ca="1" si="28">L89/$L$88</f>
        <v>2.5707930043485581</v>
      </c>
    </row>
    <row r="90" spans="2:18" x14ac:dyDescent="0.25">
      <c r="B90" s="78" t="s">
        <v>240</v>
      </c>
      <c r="C90" s="234">
        <f t="shared" si="23"/>
        <v>45.4</v>
      </c>
      <c r="D90" s="234">
        <f t="shared" si="23"/>
        <v>23.3</v>
      </c>
      <c r="E90" s="234">
        <f t="shared" si="23"/>
        <v>53.9</v>
      </c>
      <c r="F90" s="234">
        <f t="shared" si="23"/>
        <v>0</v>
      </c>
      <c r="G90" s="242">
        <f t="shared" si="24"/>
        <v>21.705508914000006</v>
      </c>
      <c r="H90" s="242">
        <f t="shared" ref="H90:J93" si="29">H80*D90</f>
        <v>10.361559163000001</v>
      </c>
      <c r="I90" s="242">
        <f t="shared" si="29"/>
        <v>17.216105271942499</v>
      </c>
      <c r="J90" s="242">
        <f t="shared" si="29"/>
        <v>0</v>
      </c>
      <c r="K90" s="242">
        <f t="shared" ref="K90:K93" si="30">SUM(G90:J90)</f>
        <v>49.283173348942512</v>
      </c>
      <c r="L90" s="256">
        <f t="shared" ca="1" si="27"/>
        <v>1038299.3646972151</v>
      </c>
      <c r="M90" s="256">
        <f t="shared" ref="M90:M93" ca="1" si="31">L90-$L$88</f>
        <v>-18450.456771063386</v>
      </c>
      <c r="N90" s="256">
        <f t="shared" ref="N90:N93" ca="1" si="32">M90/364</f>
        <v>-50.688068052371939</v>
      </c>
      <c r="O90" s="256">
        <f t="shared" ref="O90:O93" ca="1" si="33">N90/24</f>
        <v>-2.1120028355154976</v>
      </c>
      <c r="P90" s="256">
        <f t="shared" ref="P90:Q93" ca="1" si="34">O90/60</f>
        <v>-3.5200047258591625E-2</v>
      </c>
      <c r="Q90" s="256">
        <f t="shared" ca="1" si="34"/>
        <v>-5.8666745430986037E-4</v>
      </c>
      <c r="R90" s="301">
        <f t="shared" ca="1" si="28"/>
        <v>0.98254037389338966</v>
      </c>
    </row>
    <row r="91" spans="2:18" x14ac:dyDescent="0.25">
      <c r="B91" s="78" t="s">
        <v>242</v>
      </c>
      <c r="C91" s="234">
        <f t="shared" si="23"/>
        <v>45.4</v>
      </c>
      <c r="D91" s="234">
        <f t="shared" si="23"/>
        <v>23.3</v>
      </c>
      <c r="E91" s="234">
        <f t="shared" si="23"/>
        <v>39.1</v>
      </c>
      <c r="F91" s="234">
        <f t="shared" si="23"/>
        <v>67.2</v>
      </c>
      <c r="G91" s="242">
        <f t="shared" si="24"/>
        <v>21.705508914000006</v>
      </c>
      <c r="H91" s="242">
        <f t="shared" si="29"/>
        <v>10.361559163000001</v>
      </c>
      <c r="I91" s="242">
        <f t="shared" si="29"/>
        <v>17.771455343062502</v>
      </c>
      <c r="J91" s="242">
        <f t="shared" si="29"/>
        <v>78.23394549935999</v>
      </c>
      <c r="K91" s="242">
        <f t="shared" si="30"/>
        <v>128.0724689194225</v>
      </c>
      <c r="L91" s="256">
        <f t="shared" ca="1" si="27"/>
        <v>2698234.5916061751</v>
      </c>
      <c r="M91" s="256">
        <f t="shared" ca="1" si="31"/>
        <v>1641484.7701378965</v>
      </c>
      <c r="N91" s="256">
        <f t="shared" ca="1" si="32"/>
        <v>4509.5735443348804</v>
      </c>
      <c r="O91" s="256">
        <f t="shared" ca="1" si="33"/>
        <v>187.89889768062002</v>
      </c>
      <c r="P91" s="256">
        <f t="shared" ca="1" si="34"/>
        <v>3.1316482946770003</v>
      </c>
      <c r="Q91" s="256">
        <f t="shared" ca="1" si="34"/>
        <v>5.2194138244616675E-2</v>
      </c>
      <c r="R91" s="301">
        <f t="shared" ca="1" si="28"/>
        <v>2.5533333782419478</v>
      </c>
    </row>
    <row r="92" spans="2:18" x14ac:dyDescent="0.25">
      <c r="B92" s="78" t="s">
        <v>243</v>
      </c>
      <c r="C92" s="234">
        <f t="shared" si="23"/>
        <v>83.1</v>
      </c>
      <c r="D92" s="234">
        <f t="shared" si="23"/>
        <v>39.1</v>
      </c>
      <c r="E92" s="234">
        <f t="shared" si="23"/>
        <v>53.9</v>
      </c>
      <c r="F92" s="234">
        <f t="shared" si="23"/>
        <v>0</v>
      </c>
      <c r="G92" s="242">
        <f t="shared" si="24"/>
        <v>40.200254015062498</v>
      </c>
      <c r="H92" s="242">
        <f t="shared" si="29"/>
        <v>17.771455343062502</v>
      </c>
      <c r="I92" s="242">
        <f t="shared" si="29"/>
        <v>17.216105271942499</v>
      </c>
      <c r="J92" s="242">
        <f t="shared" si="29"/>
        <v>0</v>
      </c>
      <c r="K92" s="242">
        <f t="shared" si="30"/>
        <v>75.187814630067493</v>
      </c>
      <c r="L92" s="256">
        <f t="shared" ca="1" si="27"/>
        <v>1584059.119136373</v>
      </c>
      <c r="M92" s="256">
        <f t="shared" ca="1" si="31"/>
        <v>527309.29766809451</v>
      </c>
      <c r="N92" s="256">
        <f t="shared" ca="1" si="32"/>
        <v>1448.6519166705893</v>
      </c>
      <c r="O92" s="256">
        <f t="shared" ca="1" si="33"/>
        <v>60.360496527941223</v>
      </c>
      <c r="P92" s="256">
        <f t="shared" ca="1" si="34"/>
        <v>1.0060082754656869</v>
      </c>
      <c r="Q92" s="256">
        <f t="shared" ca="1" si="34"/>
        <v>1.6766804591094784E-2</v>
      </c>
      <c r="R92" s="301">
        <f t="shared" ca="1" si="28"/>
        <v>1.4989916127314182</v>
      </c>
    </row>
    <row r="93" spans="2:18" x14ac:dyDescent="0.25">
      <c r="B93" s="78" t="s">
        <v>244</v>
      </c>
      <c r="C93" s="234">
        <f t="shared" si="23"/>
        <v>83.1</v>
      </c>
      <c r="D93" s="234">
        <f t="shared" si="23"/>
        <v>67.2</v>
      </c>
      <c r="E93" s="234">
        <f t="shared" si="23"/>
        <v>0</v>
      </c>
      <c r="F93" s="234">
        <f t="shared" si="23"/>
        <v>0</v>
      </c>
      <c r="G93" s="242">
        <f t="shared" si="24"/>
        <v>40.200254015062498</v>
      </c>
      <c r="H93" s="242">
        <f t="shared" si="29"/>
        <v>78.23394549935999</v>
      </c>
      <c r="I93" s="242">
        <f t="shared" si="29"/>
        <v>0</v>
      </c>
      <c r="J93" s="242">
        <f t="shared" si="29"/>
        <v>0</v>
      </c>
      <c r="K93" s="242">
        <f t="shared" si="30"/>
        <v>118.43419951442249</v>
      </c>
      <c r="L93" s="256">
        <f t="shared" ca="1" si="27"/>
        <v>2495175.2445723284</v>
      </c>
      <c r="M93" s="256">
        <f t="shared" ca="1" si="31"/>
        <v>1438425.4231040499</v>
      </c>
      <c r="N93" s="256">
        <f t="shared" ca="1" si="32"/>
        <v>3951.7181953407962</v>
      </c>
      <c r="O93" s="256">
        <f t="shared" ca="1" si="33"/>
        <v>164.6549248058665</v>
      </c>
      <c r="P93" s="256">
        <f t="shared" ca="1" si="34"/>
        <v>2.7442487467644416</v>
      </c>
      <c r="Q93" s="256">
        <f t="shared" ca="1" si="34"/>
        <v>4.5737479112740696E-2</v>
      </c>
      <c r="R93" s="301">
        <f t="shared" ca="1" si="28"/>
        <v>2.3611787708707253</v>
      </c>
    </row>
    <row r="94" spans="2:18" x14ac:dyDescent="0.25">
      <c r="B94" s="26" t="s">
        <v>76</v>
      </c>
      <c r="C94" s="5" t="s">
        <v>403</v>
      </c>
      <c r="D94" s="238"/>
      <c r="E94" s="238"/>
      <c r="F94" s="238"/>
      <c r="G94" s="238"/>
      <c r="H94" s="238"/>
      <c r="I94" s="238"/>
      <c r="J94" s="238"/>
    </row>
    <row r="107" spans="12:19" x14ac:dyDescent="0.25">
      <c r="Q107" s="5"/>
      <c r="R107" s="5"/>
      <c r="S107" s="5"/>
    </row>
    <row r="108" spans="12:19" x14ac:dyDescent="0.25">
      <c r="M108" s="238"/>
      <c r="N108" s="5"/>
      <c r="O108" s="5"/>
      <c r="P108" s="5"/>
      <c r="Q108" s="5"/>
      <c r="R108" s="5"/>
      <c r="S108" s="5"/>
    </row>
    <row r="109" spans="12:19" x14ac:dyDescent="0.25">
      <c r="N109" s="5"/>
      <c r="O109" s="5"/>
      <c r="P109" s="5"/>
      <c r="Q109" s="5"/>
      <c r="R109" s="5"/>
      <c r="S109" s="5"/>
    </row>
    <row r="110" spans="12:19" x14ac:dyDescent="0.25">
      <c r="M110" s="238"/>
      <c r="N110" s="5"/>
      <c r="O110" s="5"/>
      <c r="P110" s="5"/>
      <c r="Q110" s="5"/>
      <c r="R110" s="5"/>
      <c r="S110" s="5"/>
    </row>
    <row r="111" spans="12:19" x14ac:dyDescent="0.25">
      <c r="L111" s="5"/>
      <c r="M111" s="238"/>
      <c r="N111" s="5"/>
      <c r="O111" s="5"/>
      <c r="P111" s="5"/>
      <c r="Q111" s="5"/>
      <c r="R111" s="5"/>
      <c r="S111" s="5"/>
    </row>
    <row r="112" spans="12:19" x14ac:dyDescent="0.25">
      <c r="M112" s="238"/>
      <c r="N112" s="5"/>
      <c r="O112" s="5"/>
      <c r="P112" s="5"/>
      <c r="Q112" s="5"/>
      <c r="R112" s="5"/>
      <c r="S112" s="5"/>
    </row>
    <row r="113" spans="12:19" x14ac:dyDescent="0.25">
      <c r="L113" s="5"/>
      <c r="M113" s="238"/>
      <c r="N113" s="5"/>
      <c r="O113" s="5"/>
      <c r="P113" s="5"/>
      <c r="Q113" s="5"/>
      <c r="R113" s="5"/>
      <c r="S113" s="5"/>
    </row>
    <row r="114" spans="12:19" x14ac:dyDescent="0.25">
      <c r="L114" s="5"/>
      <c r="M114" s="238"/>
      <c r="N114" s="5"/>
      <c r="O114" s="5"/>
      <c r="P114" s="5"/>
      <c r="Q114" s="5"/>
      <c r="R114" s="5"/>
      <c r="S114" s="5"/>
    </row>
    <row r="115" spans="12:19" x14ac:dyDescent="0.25">
      <c r="L115" s="5"/>
      <c r="M115" s="238"/>
      <c r="N115" s="5"/>
      <c r="O115" s="5"/>
      <c r="P115" s="5"/>
      <c r="Q115" s="5"/>
      <c r="R115" s="5"/>
      <c r="S115" s="5"/>
    </row>
    <row r="116" spans="12:19" x14ac:dyDescent="0.25">
      <c r="L116" s="5"/>
      <c r="M116" s="238"/>
      <c r="N116" s="5"/>
      <c r="O116" s="5"/>
      <c r="P116" s="5"/>
      <c r="Q116" s="5"/>
    </row>
    <row r="117" spans="12:19" x14ac:dyDescent="0.25">
      <c r="P117" s="5"/>
      <c r="Q117" s="5"/>
    </row>
    <row r="118" spans="12:19" x14ac:dyDescent="0.25">
      <c r="L118" s="5"/>
      <c r="M118" s="238"/>
      <c r="N118" s="5"/>
      <c r="O118" s="5"/>
      <c r="P118" s="5"/>
      <c r="Q118" s="5"/>
    </row>
    <row r="119" spans="12:19" x14ac:dyDescent="0.25">
      <c r="L119" s="5"/>
      <c r="M119" s="238"/>
      <c r="N119" s="5"/>
      <c r="O119" s="5"/>
      <c r="Q119" s="5"/>
    </row>
    <row r="120" spans="12:19" x14ac:dyDescent="0.25">
      <c r="L120" s="5"/>
      <c r="M120" s="238"/>
      <c r="N120" s="5"/>
      <c r="O120" s="5"/>
      <c r="Q120" s="5"/>
    </row>
    <row r="121" spans="12:19" x14ac:dyDescent="0.25">
      <c r="L121" s="5"/>
      <c r="M121" s="238"/>
      <c r="N121" s="5"/>
      <c r="O121" s="5"/>
      <c r="Q121" s="5"/>
    </row>
    <row r="122" spans="12:19" x14ac:dyDescent="0.25">
      <c r="L122" s="5"/>
      <c r="M122" s="238"/>
      <c r="N122" s="5"/>
      <c r="O122" s="5"/>
      <c r="Q122" s="5"/>
    </row>
    <row r="123" spans="12:19" x14ac:dyDescent="0.25">
      <c r="L123" s="5"/>
      <c r="M123" s="238"/>
      <c r="N123" s="5"/>
      <c r="O123" s="5"/>
      <c r="Q123" s="5"/>
    </row>
    <row r="124" spans="12:19" x14ac:dyDescent="0.25">
      <c r="L124" s="5"/>
      <c r="M124" s="238"/>
      <c r="N124" s="5"/>
      <c r="O124" s="5"/>
      <c r="Q124" s="5"/>
    </row>
    <row r="125" spans="12:19" x14ac:dyDescent="0.25">
      <c r="L125" s="5"/>
      <c r="M125" s="238"/>
      <c r="N125" s="5"/>
      <c r="O125" s="5"/>
      <c r="Q125" s="5"/>
    </row>
    <row r="126" spans="12:19" x14ac:dyDescent="0.25">
      <c r="L126" s="5"/>
      <c r="M126" s="238"/>
      <c r="N126" s="5"/>
      <c r="O126" s="5"/>
      <c r="Q126" s="5"/>
    </row>
    <row r="127" spans="12:19" x14ac:dyDescent="0.25">
      <c r="L127" s="5"/>
      <c r="M127" s="5"/>
      <c r="P127" s="5"/>
    </row>
    <row r="128" spans="12:19" x14ac:dyDescent="0.25">
      <c r="L128" s="5"/>
      <c r="M128" s="5"/>
      <c r="N128" s="5"/>
      <c r="O128" s="5"/>
      <c r="P128" s="5"/>
    </row>
    <row r="129" spans="12:16" x14ac:dyDescent="0.25">
      <c r="L129" s="5"/>
      <c r="M129" s="5"/>
      <c r="N129" s="5"/>
      <c r="O129" s="5"/>
      <c r="P129" s="5"/>
    </row>
    <row r="130" spans="12:16" x14ac:dyDescent="0.25">
      <c r="L130" s="5"/>
      <c r="M130" s="5"/>
      <c r="N130" s="5"/>
      <c r="O130" s="5"/>
      <c r="P130" s="5"/>
    </row>
    <row r="131" spans="12:16" x14ac:dyDescent="0.25">
      <c r="L131" s="5"/>
      <c r="M131" s="5"/>
      <c r="N131" s="5"/>
      <c r="O131" s="5"/>
      <c r="P131" s="5"/>
    </row>
    <row r="132" spans="12:16" x14ac:dyDescent="0.25">
      <c r="L132" s="5"/>
      <c r="M132" s="5"/>
      <c r="N132" s="5"/>
      <c r="O132" s="5"/>
      <c r="P132" s="5"/>
    </row>
    <row r="133" spans="12:16" x14ac:dyDescent="0.25">
      <c r="L133" s="5"/>
      <c r="M133" s="5"/>
      <c r="N133" s="5"/>
      <c r="O133" s="5"/>
      <c r="P133" s="5"/>
    </row>
    <row r="134" spans="12:16" x14ac:dyDescent="0.25">
      <c r="L134" s="5"/>
      <c r="M134" s="5"/>
      <c r="N134" s="5"/>
      <c r="O134" s="5"/>
      <c r="P134" s="5"/>
    </row>
    <row r="135" spans="12:16" x14ac:dyDescent="0.25">
      <c r="L135" s="5"/>
      <c r="M135" s="5"/>
      <c r="N135" s="5"/>
      <c r="O135" s="5"/>
      <c r="P135" s="5"/>
    </row>
    <row r="136" spans="12:16" x14ac:dyDescent="0.25">
      <c r="L136" s="5"/>
      <c r="M136" s="5"/>
      <c r="N136" s="5"/>
      <c r="O136" s="5"/>
      <c r="P136" s="5"/>
    </row>
    <row r="137" spans="12:16" x14ac:dyDescent="0.25">
      <c r="L137" s="5"/>
      <c r="M137" s="5"/>
      <c r="N137" s="5"/>
      <c r="O137" s="5"/>
      <c r="P137" s="5"/>
    </row>
    <row r="138" spans="12:16" x14ac:dyDescent="0.25">
      <c r="L138" s="5"/>
      <c r="M138" s="5"/>
      <c r="N138" s="5"/>
      <c r="O138" s="5"/>
      <c r="P138" s="5"/>
    </row>
    <row r="139" spans="12:16" x14ac:dyDescent="0.25">
      <c r="L139" s="5"/>
      <c r="M139" s="5"/>
      <c r="N139" s="5"/>
      <c r="O139" s="5"/>
      <c r="P139" s="5"/>
    </row>
    <row r="140" spans="12:16" x14ac:dyDescent="0.25">
      <c r="L140" s="5"/>
      <c r="M140" s="5"/>
      <c r="N140" s="5"/>
      <c r="O140" s="5"/>
      <c r="P140" s="5"/>
    </row>
    <row r="141" spans="12:16" x14ac:dyDescent="0.25">
      <c r="L141" s="5"/>
      <c r="M141" s="5"/>
      <c r="N141" s="5"/>
      <c r="O141" s="5"/>
      <c r="P141" s="5"/>
    </row>
    <row r="142" spans="12:16" x14ac:dyDescent="0.25">
      <c r="L142" s="5"/>
      <c r="M142" s="5"/>
      <c r="N142" s="5"/>
      <c r="O142" s="5"/>
      <c r="P142" s="5"/>
    </row>
    <row r="143" spans="12:16" x14ac:dyDescent="0.25">
      <c r="L143" s="5"/>
      <c r="M143" s="5"/>
      <c r="N143" s="5"/>
      <c r="O143" s="5"/>
      <c r="P143" s="5"/>
    </row>
    <row r="144" spans="12:16" x14ac:dyDescent="0.25">
      <c r="L144" s="5"/>
      <c r="M144" s="5"/>
      <c r="N144" s="5"/>
      <c r="O144" s="5"/>
      <c r="P144" s="5"/>
    </row>
    <row r="145" spans="12:16" x14ac:dyDescent="0.25">
      <c r="L145" s="5"/>
      <c r="M145" s="5"/>
      <c r="N145" s="5"/>
      <c r="O145" s="5"/>
      <c r="P145" s="5"/>
    </row>
    <row r="146" spans="12:16" x14ac:dyDescent="0.25">
      <c r="L146" s="5"/>
      <c r="M146" s="5"/>
      <c r="N146" s="5"/>
      <c r="O146" s="5"/>
      <c r="P146" s="5"/>
    </row>
    <row r="147" spans="12:16" x14ac:dyDescent="0.25">
      <c r="L147" s="5"/>
      <c r="M147" s="5"/>
      <c r="N147" s="5"/>
      <c r="O147" s="5"/>
      <c r="P147" s="5"/>
    </row>
    <row r="148" spans="12:16" x14ac:dyDescent="0.25">
      <c r="L148" s="5"/>
      <c r="M148" s="5"/>
      <c r="N148" s="5"/>
      <c r="O148" s="5"/>
      <c r="P148" s="5"/>
    </row>
    <row r="149" spans="12:16" x14ac:dyDescent="0.25">
      <c r="L149" s="5"/>
      <c r="M149" s="5"/>
      <c r="N149" s="5"/>
      <c r="O149" s="5"/>
      <c r="P149" s="5"/>
    </row>
    <row r="150" spans="12:16" x14ac:dyDescent="0.25">
      <c r="L150" s="5"/>
      <c r="M150" s="5"/>
      <c r="N150" s="5"/>
      <c r="O150" s="5"/>
      <c r="P150" s="5"/>
    </row>
    <row r="151" spans="12:16" x14ac:dyDescent="0.25">
      <c r="L151" s="5"/>
      <c r="M151" s="5"/>
      <c r="N151" s="5"/>
      <c r="O151" s="5"/>
      <c r="P151" s="5"/>
    </row>
    <row r="152" spans="12:16" x14ac:dyDescent="0.25">
      <c r="L152" s="5"/>
      <c r="M152" s="5"/>
      <c r="N152" s="5"/>
      <c r="O152" s="5"/>
      <c r="P152" s="5"/>
    </row>
    <row r="153" spans="12:16" x14ac:dyDescent="0.25">
      <c r="L153" s="5"/>
      <c r="M153" s="5"/>
      <c r="N153" s="5"/>
      <c r="O153" s="5"/>
      <c r="P153" s="5"/>
    </row>
    <row r="154" spans="12:16" x14ac:dyDescent="0.25">
      <c r="L154" s="5"/>
      <c r="M154" s="5"/>
      <c r="N154" s="5"/>
      <c r="O154" s="5"/>
      <c r="P154" s="5"/>
    </row>
    <row r="155" spans="12:16" x14ac:dyDescent="0.25">
      <c r="L155" s="5"/>
      <c r="M155" s="5"/>
      <c r="N155" s="5"/>
      <c r="O155" s="5"/>
      <c r="P155" s="5"/>
    </row>
    <row r="156" spans="12:16" x14ac:dyDescent="0.25">
      <c r="L156" s="5"/>
      <c r="M156" s="5"/>
      <c r="N156" s="5"/>
      <c r="O156" s="5"/>
      <c r="P156" s="5"/>
    </row>
    <row r="157" spans="12:16" x14ac:dyDescent="0.25">
      <c r="L157" s="5"/>
      <c r="M157" s="5"/>
      <c r="N157" s="5"/>
      <c r="O157" s="5"/>
      <c r="P157" s="5"/>
    </row>
    <row r="158" spans="12:16" x14ac:dyDescent="0.25">
      <c r="L158" s="5"/>
      <c r="M158" s="5"/>
      <c r="N158" s="5"/>
      <c r="O158" s="5"/>
      <c r="P158" s="5"/>
    </row>
    <row r="159" spans="12:16" x14ac:dyDescent="0.25">
      <c r="L159" s="5"/>
      <c r="M159" s="5"/>
      <c r="N159" s="5"/>
      <c r="O159" s="5"/>
      <c r="P159" s="5"/>
    </row>
    <row r="160" spans="12:16" x14ac:dyDescent="0.25">
      <c r="L160" s="5"/>
      <c r="M160" s="5"/>
      <c r="N160" s="5"/>
      <c r="O160" s="5"/>
      <c r="P160" s="5"/>
    </row>
    <row r="161" spans="12:16" x14ac:dyDescent="0.25">
      <c r="L161" s="5"/>
      <c r="M161" s="5"/>
      <c r="N161" s="5"/>
      <c r="O161" s="5"/>
      <c r="P161" s="5"/>
    </row>
    <row r="162" spans="12:16" x14ac:dyDescent="0.25">
      <c r="L162" s="5"/>
      <c r="M162" s="5"/>
      <c r="N162" s="5"/>
      <c r="O162" s="5"/>
      <c r="P162" s="5"/>
    </row>
    <row r="163" spans="12:16" x14ac:dyDescent="0.25">
      <c r="L163" s="5"/>
      <c r="M163" s="5"/>
      <c r="N163" s="5"/>
      <c r="O163" s="5"/>
      <c r="P163" s="5"/>
    </row>
    <row r="164" spans="12:16" x14ac:dyDescent="0.25">
      <c r="L164" s="5"/>
      <c r="M164" s="5"/>
      <c r="N164" s="5"/>
      <c r="O164" s="5"/>
      <c r="P164" s="5"/>
    </row>
    <row r="165" spans="12:16" x14ac:dyDescent="0.25">
      <c r="L165" s="5"/>
      <c r="M165" s="5"/>
      <c r="N165" s="5"/>
      <c r="O165" s="5"/>
      <c r="P165" s="5"/>
    </row>
  </sheetData>
  <mergeCells count="28">
    <mergeCell ref="F37:F38"/>
    <mergeCell ref="G37:J37"/>
    <mergeCell ref="G66:J66"/>
    <mergeCell ref="G76:J76"/>
    <mergeCell ref="B76:B77"/>
    <mergeCell ref="B66:B67"/>
    <mergeCell ref="C66:F66"/>
    <mergeCell ref="C56:C57"/>
    <mergeCell ref="D56:D57"/>
    <mergeCell ref="C37:C38"/>
    <mergeCell ref="D37:D38"/>
    <mergeCell ref="E37:E38"/>
    <mergeCell ref="B7:B8"/>
    <mergeCell ref="C86:F86"/>
    <mergeCell ref="C76:F76"/>
    <mergeCell ref="G86:J86"/>
    <mergeCell ref="E56:E57"/>
    <mergeCell ref="F56:F57"/>
    <mergeCell ref="B37:B38"/>
    <mergeCell ref="B86:B87"/>
    <mergeCell ref="G46:J46"/>
    <mergeCell ref="G56:J56"/>
    <mergeCell ref="B46:B47"/>
    <mergeCell ref="C46:C47"/>
    <mergeCell ref="D46:D47"/>
    <mergeCell ref="E46:E47"/>
    <mergeCell ref="F46:F47"/>
    <mergeCell ref="B56:B57"/>
  </mergeCells>
  <hyperlinks>
    <hyperlink ref="C20" r:id="rId1"/>
  </hyperlinks>
  <pageMargins left="0.7" right="0.7" top="0.75" bottom="0.75" header="0.3" footer="0.3"/>
  <pageSetup scale="61" fitToHeight="0" orientation="landscape" horizontalDpi="1200" verticalDpi="1200"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>
    <pageSetUpPr fitToPage="1"/>
  </sheetPr>
  <dimension ref="B1:S146"/>
  <sheetViews>
    <sheetView topLeftCell="A17" zoomScaleNormal="100" workbookViewId="0">
      <selection activeCell="R68" sqref="R68"/>
    </sheetView>
  </sheetViews>
  <sheetFormatPr baseColWidth="10" defaultColWidth="11.5703125" defaultRowHeight="15" x14ac:dyDescent="0.25"/>
  <cols>
    <col min="1" max="1" width="9.42578125" style="238" customWidth="1"/>
    <col min="2" max="11" width="17.28515625" style="238" customWidth="1"/>
    <col min="12" max="16" width="18.7109375" style="238" customWidth="1"/>
    <col min="17" max="22" width="18.42578125" style="238" customWidth="1"/>
    <col min="23" max="16384" width="11.5703125" style="238"/>
  </cols>
  <sheetData>
    <row r="1" spans="2:18" x14ac:dyDescent="0.25">
      <c r="B1" s="13" t="s">
        <v>460</v>
      </c>
      <c r="C1"/>
    </row>
    <row r="2" spans="2:18" x14ac:dyDescent="0.25">
      <c r="B2" t="s">
        <v>461</v>
      </c>
    </row>
    <row r="3" spans="2:18" x14ac:dyDescent="0.25">
      <c r="B3"/>
    </row>
    <row r="4" spans="2:18" x14ac:dyDescent="0.25">
      <c r="B4" s="13" t="s">
        <v>464</v>
      </c>
      <c r="C4" s="246">
        <f ca="1">MCI!C69</f>
        <v>799414.49300898938</v>
      </c>
      <c r="D4" t="str">
        <f>MCI!E69</f>
        <v>Poliza de vida promedio aseguradora</v>
      </c>
      <c r="E4"/>
      <c r="F4"/>
      <c r="G4"/>
      <c r="H4"/>
    </row>
    <row r="5" spans="2:18" x14ac:dyDescent="0.25">
      <c r="B5"/>
    </row>
    <row r="6" spans="2:18" x14ac:dyDescent="0.25">
      <c r="B6" s="178" t="s">
        <v>141</v>
      </c>
      <c r="C6" s="229">
        <v>1</v>
      </c>
      <c r="D6" s="229">
        <v>2</v>
      </c>
      <c r="E6" s="229">
        <v>3</v>
      </c>
      <c r="F6" s="229">
        <v>4</v>
      </c>
      <c r="G6" s="229">
        <v>5</v>
      </c>
      <c r="H6" s="229">
        <v>6</v>
      </c>
      <c r="I6" s="229">
        <v>7</v>
      </c>
    </row>
    <row r="7" spans="2:18" x14ac:dyDescent="0.25">
      <c r="B7" s="178" t="s">
        <v>391</v>
      </c>
      <c r="C7" s="143">
        <f>MCI!C56</f>
        <v>20554</v>
      </c>
      <c r="D7" s="143">
        <f>MCI!D56</f>
        <v>8833.5</v>
      </c>
      <c r="E7" s="143">
        <f>MCI!E56</f>
        <v>2635.5</v>
      </c>
      <c r="F7" s="143">
        <f>MCI!F56</f>
        <v>5458.5</v>
      </c>
      <c r="G7" s="143">
        <f>MCI!G56</f>
        <v>3910</v>
      </c>
      <c r="H7" s="143">
        <f>MCI!H56</f>
        <v>2932</v>
      </c>
      <c r="I7" s="143">
        <f>MCI!I56</f>
        <v>22745</v>
      </c>
      <c r="J7" s="144"/>
      <c r="K7" s="144"/>
    </row>
    <row r="8" spans="2:18" x14ac:dyDescent="0.25">
      <c r="B8" s="178" t="s">
        <v>110</v>
      </c>
      <c r="C8" s="143" t="str">
        <f>MCI!C24</f>
        <v>Lomerío</v>
      </c>
      <c r="D8" s="143" t="str">
        <f>MCI!D24</f>
        <v>Montañoso</v>
      </c>
      <c r="E8" s="143" t="str">
        <f>MCI!E24</f>
        <v>Montañoso</v>
      </c>
      <c r="F8" s="143" t="str">
        <f>MCI!F24</f>
        <v>Montañoso</v>
      </c>
      <c r="G8" s="143" t="str">
        <f>MCI!G24</f>
        <v>Lomerío</v>
      </c>
      <c r="H8" s="143" t="str">
        <f>MCI!H24</f>
        <v>Lomerío</v>
      </c>
      <c r="I8" s="143" t="str">
        <f>MCI!I24</f>
        <v>Lomerío</v>
      </c>
      <c r="J8" s="144"/>
      <c r="K8" s="144"/>
    </row>
    <row r="9" spans="2:18" x14ac:dyDescent="0.25">
      <c r="B9" s="178" t="s">
        <v>125</v>
      </c>
      <c r="C9" s="143">
        <f>MCI!C25</f>
        <v>4</v>
      </c>
      <c r="D9" s="143">
        <f>MCI!D25</f>
        <v>6</v>
      </c>
      <c r="E9" s="143">
        <f>MCI!E25</f>
        <v>4</v>
      </c>
      <c r="F9" s="143">
        <f>MCI!F25</f>
        <v>4</v>
      </c>
      <c r="G9" s="143">
        <f>MCI!G25</f>
        <v>8</v>
      </c>
      <c r="H9" s="143">
        <f>MCI!H25</f>
        <v>4</v>
      </c>
      <c r="I9" s="143">
        <f>MCI!I25</f>
        <v>2</v>
      </c>
      <c r="J9" s="144"/>
      <c r="K9" s="144"/>
    </row>
    <row r="10" spans="2:18" x14ac:dyDescent="0.25">
      <c r="B10" s="178" t="s">
        <v>263</v>
      </c>
      <c r="C10" s="182">
        <f>MCI!C23/1000</f>
        <v>45.4</v>
      </c>
      <c r="D10" s="182">
        <f>MCI!D23/1000</f>
        <v>23.3</v>
      </c>
      <c r="E10" s="182">
        <f>MCI!E23/1000</f>
        <v>23.3</v>
      </c>
      <c r="F10" s="182">
        <f>MCI!F23/1000</f>
        <v>53.9</v>
      </c>
      <c r="G10" s="182">
        <f>MCI!G23/1000</f>
        <v>83.1</v>
      </c>
      <c r="H10" s="182">
        <f>MCI!H23/1000</f>
        <v>39.1</v>
      </c>
      <c r="I10" s="182">
        <f>MCI!I23/1000</f>
        <v>67.2</v>
      </c>
      <c r="J10" s="144"/>
      <c r="K10" s="144"/>
    </row>
    <row r="11" spans="2:18" x14ac:dyDescent="0.25">
      <c r="B11" s="178" t="str">
        <f>MCI!B26</f>
        <v>Clasificación</v>
      </c>
      <c r="C11" s="182" t="str">
        <f>MCI!C26</f>
        <v>CUOTA 2 Carriles</v>
      </c>
      <c r="D11" s="182" t="str">
        <f>MCI!D26</f>
        <v>"B" 2 Carriles</v>
      </c>
      <c r="E11" s="182" t="str">
        <f>MCI!E26</f>
        <v>CUOTA 2 Carriles</v>
      </c>
      <c r="F11" s="182" t="str">
        <f>MCI!F26</f>
        <v>"C" 2 Carriles</v>
      </c>
      <c r="G11" s="182" t="str">
        <f>MCI!G26</f>
        <v>CUOTA 2 Carriles</v>
      </c>
      <c r="H11" s="182" t="str">
        <f>MCI!H26</f>
        <v>CUOTA 2 Carriles</v>
      </c>
      <c r="I11" s="182" t="str">
        <f>MCI!I26</f>
        <v>CUOTA 4+ Carriles</v>
      </c>
      <c r="J11" s="144"/>
      <c r="K11" s="144"/>
    </row>
    <row r="12" spans="2:18" x14ac:dyDescent="0.25">
      <c r="B12" s="26" t="s">
        <v>76</v>
      </c>
      <c r="C12" s="55" t="s">
        <v>303</v>
      </c>
      <c r="D12" s="149"/>
      <c r="E12" s="149"/>
      <c r="F12" s="161"/>
      <c r="G12" s="161"/>
      <c r="H12" s="158"/>
      <c r="I12" s="158"/>
      <c r="J12" s="158"/>
      <c r="K12" s="161"/>
      <c r="L12" s="161"/>
      <c r="M12" s="161"/>
    </row>
    <row r="13" spans="2:18" x14ac:dyDescent="0.25">
      <c r="B13" s="26"/>
      <c r="C13" s="55"/>
      <c r="D13" s="149"/>
      <c r="E13" s="149"/>
      <c r="F13" s="161"/>
      <c r="G13" s="161"/>
      <c r="H13" s="158"/>
      <c r="I13" s="158"/>
      <c r="J13" s="158"/>
      <c r="K13" s="161"/>
      <c r="L13" s="161"/>
      <c r="M13" s="161"/>
    </row>
    <row r="14" spans="2:18" x14ac:dyDescent="0.25">
      <c r="B14" s="26" t="str">
        <f>MCI!B58</f>
        <v>TDPAef</v>
      </c>
      <c r="C14" s="26">
        <f>MCI!C58</f>
        <v>5458.5</v>
      </c>
      <c r="D14" s="5" t="str">
        <f>MCI!D58</f>
        <v>(TDPA EFECTIVO; ES EL QUE EXCLUSIVAMENTE VA DEL PRIMER AL ULTIMO PUNTO DE LA RUTA PRINCIPAL; NO EL TDPA TOTAL)</v>
      </c>
      <c r="E14" s="149"/>
      <c r="F14" s="161"/>
      <c r="G14" s="161"/>
      <c r="H14" s="158"/>
      <c r="I14" s="158"/>
      <c r="J14" s="158"/>
      <c r="K14" s="161"/>
      <c r="L14" s="161"/>
      <c r="M14" s="161"/>
    </row>
    <row r="15" spans="2:18" x14ac:dyDescent="0.25">
      <c r="B15" s="18"/>
      <c r="H15" s="90"/>
      <c r="I15" s="90"/>
      <c r="J15" s="90"/>
      <c r="K15" s="124"/>
      <c r="L15" s="124"/>
      <c r="M15" s="124"/>
      <c r="N15" s="124"/>
      <c r="O15" s="124"/>
      <c r="P15" s="124"/>
      <c r="Q15" s="124"/>
      <c r="R15" s="124"/>
    </row>
    <row r="16" spans="2:18" x14ac:dyDescent="0.25">
      <c r="B16" s="8" t="s">
        <v>456</v>
      </c>
      <c r="C16" s="88"/>
      <c r="D16" s="88"/>
      <c r="E16" s="88"/>
      <c r="F16" s="88"/>
      <c r="G16" s="88"/>
      <c r="H16" s="88"/>
      <c r="I16" s="88"/>
      <c r="J16" s="88"/>
      <c r="K16" s="124"/>
      <c r="L16" s="124"/>
      <c r="M16" s="124"/>
      <c r="N16" s="124"/>
      <c r="O16" s="124"/>
      <c r="P16" s="124"/>
      <c r="Q16" s="124"/>
      <c r="R16" s="124"/>
    </row>
    <row r="17" spans="2:11" x14ac:dyDescent="0.25">
      <c r="K17" s="124"/>
    </row>
    <row r="18" spans="2:11" x14ac:dyDescent="0.25">
      <c r="B18" s="346" t="s">
        <v>286</v>
      </c>
      <c r="C18" s="343" t="s">
        <v>69</v>
      </c>
      <c r="D18" s="343" t="s">
        <v>237</v>
      </c>
      <c r="E18" s="343" t="s">
        <v>28</v>
      </c>
      <c r="F18" s="343" t="s">
        <v>238</v>
      </c>
      <c r="G18" s="363" t="s">
        <v>2</v>
      </c>
      <c r="H18" s="364"/>
      <c r="I18" s="364"/>
      <c r="J18" s="365"/>
      <c r="K18" s="124"/>
    </row>
    <row r="19" spans="2:11" x14ac:dyDescent="0.25">
      <c r="B19" s="347"/>
      <c r="C19" s="344"/>
      <c r="D19" s="344"/>
      <c r="E19" s="344"/>
      <c r="F19" s="344"/>
      <c r="G19" s="34" t="s">
        <v>69</v>
      </c>
      <c r="H19" s="34" t="s">
        <v>237</v>
      </c>
      <c r="I19" s="34" t="s">
        <v>28</v>
      </c>
      <c r="J19" s="34" t="s">
        <v>238</v>
      </c>
      <c r="K19" s="124"/>
    </row>
    <row r="20" spans="2:11" x14ac:dyDescent="0.25">
      <c r="B20" s="78" t="s">
        <v>239</v>
      </c>
      <c r="C20" s="21">
        <f>MCI!C31</f>
        <v>1</v>
      </c>
      <c r="D20" s="21">
        <f>MCI!D31</f>
        <v>2</v>
      </c>
      <c r="E20" s="21">
        <f>MCI!E31</f>
        <v>4</v>
      </c>
      <c r="F20" s="21" t="str">
        <f>MCI!F31</f>
        <v>N/A</v>
      </c>
      <c r="G20" s="240">
        <f>IF(C20=$C$6,$C$7,IF(C20=$D$6,$D$7,IF(C20=$E$6,$E$7,IF(C20=$F$6,$F$7,IF(C20=$G$6,$G$7,IF(C20=$H$6,$H$7,IF(C20=$I$6,$I$7,0)))))))</f>
        <v>20554</v>
      </c>
      <c r="H20" s="241">
        <f>IF(D20=$C$6,$C$7,IF(D20=$D$6,$D$7,IF(D20=$E$6,$E$7,IF(D20=$F$6,$F$7,IF(D20=$G$6,$G$7,IF(D20=$H$6,$H$7,IF(D20=$I$6,$I$7,0)))))))</f>
        <v>8833.5</v>
      </c>
      <c r="I20" s="241">
        <f>IF(E20=$C$6,$C$7,IF(E20=$D$6,$D$7,IF(E20=$E$6,$E$7,IF(E20=$F$6,$F$7,IF(E20=$G$6,$G$7,IF(E20=$H$6,$H$7,IF(E20=$I$6,$I$7,0)))))))</f>
        <v>5458.5</v>
      </c>
      <c r="J20" s="241">
        <f>IF(F20=$C$6,$C$7,IF(F20=$D$6,$D$7,IF(F20=$E$6,$E$7,IF(F20=$F$6,$F$7,IF(F20=$G$6,$G$7,IF(F20=$H$6,$H$7,IF(F20=$I$6,$I$7,0)))))))</f>
        <v>0</v>
      </c>
      <c r="K20" s="124"/>
    </row>
    <row r="21" spans="2:11" x14ac:dyDescent="0.25">
      <c r="B21" s="78" t="s">
        <v>241</v>
      </c>
      <c r="C21" s="21">
        <f>MCI!C32</f>
        <v>1</v>
      </c>
      <c r="D21" s="21">
        <f>MCI!D32</f>
        <v>2</v>
      </c>
      <c r="E21" s="21">
        <f>MCI!E32</f>
        <v>6</v>
      </c>
      <c r="F21" s="21">
        <f>MCI!F32</f>
        <v>7</v>
      </c>
      <c r="G21" s="135">
        <f t="shared" ref="G21:J25" si="0">IF(C21=$C$6,$C$7,IF(C21=$D$6,$D$7,IF(C21=$E$6,$E$7,IF(C21=$F$6,$F$7,IF(C21=$G$6,$G$7,IF(C21=$H$6,$H$7,IF(C21=$I$6,$I$7,0)))))))</f>
        <v>20554</v>
      </c>
      <c r="H21" s="141">
        <f t="shared" si="0"/>
        <v>8833.5</v>
      </c>
      <c r="I21" s="141">
        <f t="shared" si="0"/>
        <v>2932</v>
      </c>
      <c r="J21" s="141">
        <f t="shared" si="0"/>
        <v>22745</v>
      </c>
      <c r="K21" s="124"/>
    </row>
    <row r="22" spans="2:11" x14ac:dyDescent="0.25">
      <c r="B22" s="78" t="s">
        <v>240</v>
      </c>
      <c r="C22" s="21">
        <f>MCI!C33</f>
        <v>1</v>
      </c>
      <c r="D22" s="21">
        <f>MCI!D33</f>
        <v>3</v>
      </c>
      <c r="E22" s="21">
        <f>MCI!E33</f>
        <v>4</v>
      </c>
      <c r="F22" s="21" t="str">
        <f>MCI!F33</f>
        <v>N/A</v>
      </c>
      <c r="G22" s="135">
        <f t="shared" si="0"/>
        <v>20554</v>
      </c>
      <c r="H22" s="141">
        <f t="shared" si="0"/>
        <v>2635.5</v>
      </c>
      <c r="I22" s="141">
        <f t="shared" si="0"/>
        <v>5458.5</v>
      </c>
      <c r="J22" s="141">
        <f t="shared" si="0"/>
        <v>0</v>
      </c>
      <c r="K22" s="124"/>
    </row>
    <row r="23" spans="2:11" x14ac:dyDescent="0.25">
      <c r="B23" s="78" t="s">
        <v>242</v>
      </c>
      <c r="C23" s="21">
        <f>MCI!C34</f>
        <v>1</v>
      </c>
      <c r="D23" s="21">
        <f>MCI!D34</f>
        <v>3</v>
      </c>
      <c r="E23" s="21">
        <f>MCI!E34</f>
        <v>6</v>
      </c>
      <c r="F23" s="21">
        <f>MCI!F34</f>
        <v>7</v>
      </c>
      <c r="G23" s="135">
        <f t="shared" si="0"/>
        <v>20554</v>
      </c>
      <c r="H23" s="141">
        <f t="shared" si="0"/>
        <v>2635.5</v>
      </c>
      <c r="I23" s="141">
        <f t="shared" si="0"/>
        <v>2932</v>
      </c>
      <c r="J23" s="141">
        <f t="shared" si="0"/>
        <v>22745</v>
      </c>
      <c r="K23" s="124"/>
    </row>
    <row r="24" spans="2:11" x14ac:dyDescent="0.25">
      <c r="B24" s="78" t="s">
        <v>243</v>
      </c>
      <c r="C24" s="21">
        <f>MCI!C35</f>
        <v>5</v>
      </c>
      <c r="D24" s="21">
        <f>MCI!D35</f>
        <v>6</v>
      </c>
      <c r="E24" s="21">
        <f>MCI!E35</f>
        <v>4</v>
      </c>
      <c r="F24" s="21" t="str">
        <f>MCI!F35</f>
        <v>N/A</v>
      </c>
      <c r="G24" s="135">
        <f t="shared" si="0"/>
        <v>3910</v>
      </c>
      <c r="H24" s="141">
        <f t="shared" si="0"/>
        <v>2932</v>
      </c>
      <c r="I24" s="141">
        <f t="shared" si="0"/>
        <v>5458.5</v>
      </c>
      <c r="J24" s="141">
        <f t="shared" si="0"/>
        <v>0</v>
      </c>
      <c r="K24" s="124"/>
    </row>
    <row r="25" spans="2:11" x14ac:dyDescent="0.25">
      <c r="B25" s="78" t="s">
        <v>244</v>
      </c>
      <c r="C25" s="21">
        <f>MCI!C36</f>
        <v>5</v>
      </c>
      <c r="D25" s="21">
        <f>MCI!D36</f>
        <v>7</v>
      </c>
      <c r="E25" s="21" t="str">
        <f>MCI!E36</f>
        <v>N/A</v>
      </c>
      <c r="F25" s="21" t="str">
        <f>MCI!F36</f>
        <v>N/A</v>
      </c>
      <c r="G25" s="135">
        <f t="shared" si="0"/>
        <v>3910</v>
      </c>
      <c r="H25" s="141">
        <f t="shared" si="0"/>
        <v>22745</v>
      </c>
      <c r="I25" s="141">
        <f t="shared" si="0"/>
        <v>0</v>
      </c>
      <c r="J25" s="141">
        <f t="shared" si="0"/>
        <v>0</v>
      </c>
      <c r="K25" s="124"/>
    </row>
    <row r="26" spans="2:11" x14ac:dyDescent="0.25">
      <c r="K26" s="124"/>
    </row>
    <row r="27" spans="2:11" x14ac:dyDescent="0.25">
      <c r="B27" s="346" t="s">
        <v>286</v>
      </c>
      <c r="C27" s="343" t="s">
        <v>69</v>
      </c>
      <c r="D27" s="343" t="s">
        <v>237</v>
      </c>
      <c r="E27" s="343" t="s">
        <v>28</v>
      </c>
      <c r="F27" s="343" t="s">
        <v>238</v>
      </c>
      <c r="G27" s="360" t="s">
        <v>392</v>
      </c>
      <c r="H27" s="361"/>
      <c r="I27" s="361"/>
      <c r="J27" s="362"/>
      <c r="K27" s="124"/>
    </row>
    <row r="28" spans="2:11" x14ac:dyDescent="0.25">
      <c r="B28" s="347"/>
      <c r="C28" s="344"/>
      <c r="D28" s="344"/>
      <c r="E28" s="344"/>
      <c r="F28" s="344"/>
      <c r="G28" s="34" t="s">
        <v>69</v>
      </c>
      <c r="H28" s="34" t="s">
        <v>237</v>
      </c>
      <c r="I28" s="34" t="s">
        <v>28</v>
      </c>
      <c r="J28" s="34" t="s">
        <v>238</v>
      </c>
      <c r="K28" s="124"/>
    </row>
    <row r="29" spans="2:11" x14ac:dyDescent="0.25">
      <c r="B29" s="259" t="str">
        <f>B20</f>
        <v>Ruta principal</v>
      </c>
      <c r="C29" s="258">
        <f>C20</f>
        <v>1</v>
      </c>
      <c r="D29" s="258">
        <f t="shared" ref="D29:F29" si="1">D20</f>
        <v>2</v>
      </c>
      <c r="E29" s="258">
        <f t="shared" si="1"/>
        <v>4</v>
      </c>
      <c r="F29" s="258" t="str">
        <f t="shared" si="1"/>
        <v>N/A</v>
      </c>
      <c r="G29" s="262">
        <v>0</v>
      </c>
      <c r="H29" s="262">
        <v>0</v>
      </c>
      <c r="I29" s="262">
        <v>0</v>
      </c>
      <c r="J29" s="262">
        <v>0</v>
      </c>
      <c r="K29" s="124"/>
    </row>
    <row r="30" spans="2:11" x14ac:dyDescent="0.25">
      <c r="B30" s="78" t="s">
        <v>241</v>
      </c>
      <c r="C30" s="21">
        <f t="shared" ref="C30:F34" si="2">C21</f>
        <v>1</v>
      </c>
      <c r="D30" s="21">
        <f t="shared" si="2"/>
        <v>2</v>
      </c>
      <c r="E30" s="21">
        <f t="shared" si="2"/>
        <v>6</v>
      </c>
      <c r="F30" s="21">
        <f t="shared" si="2"/>
        <v>7</v>
      </c>
      <c r="G30" s="239">
        <f t="shared" ref="G30:J34" si="3">IF(C21=$C$20,0,IF(C21=$D$20,0,IF(C21=$E$20,0,IF(C21=$F$20,0,$C$14))))</f>
        <v>0</v>
      </c>
      <c r="H30" s="239">
        <f t="shared" si="3"/>
        <v>0</v>
      </c>
      <c r="I30" s="239">
        <f t="shared" si="3"/>
        <v>5458.5</v>
      </c>
      <c r="J30" s="239">
        <f t="shared" si="3"/>
        <v>5458.5</v>
      </c>
      <c r="K30" s="124"/>
    </row>
    <row r="31" spans="2:11" x14ac:dyDescent="0.25">
      <c r="B31" s="78" t="s">
        <v>240</v>
      </c>
      <c r="C31" s="21">
        <f t="shared" si="2"/>
        <v>1</v>
      </c>
      <c r="D31" s="21">
        <f t="shared" si="2"/>
        <v>3</v>
      </c>
      <c r="E31" s="21">
        <f t="shared" si="2"/>
        <v>4</v>
      </c>
      <c r="F31" s="21" t="str">
        <f t="shared" si="2"/>
        <v>N/A</v>
      </c>
      <c r="G31" s="239">
        <f t="shared" si="3"/>
        <v>0</v>
      </c>
      <c r="H31" s="239">
        <f t="shared" si="3"/>
        <v>5458.5</v>
      </c>
      <c r="I31" s="239">
        <f t="shared" si="3"/>
        <v>0</v>
      </c>
      <c r="J31" s="239">
        <f t="shared" si="3"/>
        <v>0</v>
      </c>
      <c r="K31" s="129"/>
    </row>
    <row r="32" spans="2:11" x14ac:dyDescent="0.25">
      <c r="B32" s="78" t="s">
        <v>242</v>
      </c>
      <c r="C32" s="21">
        <f t="shared" si="2"/>
        <v>1</v>
      </c>
      <c r="D32" s="21">
        <f t="shared" si="2"/>
        <v>3</v>
      </c>
      <c r="E32" s="21">
        <f t="shared" si="2"/>
        <v>6</v>
      </c>
      <c r="F32" s="21">
        <f t="shared" si="2"/>
        <v>7</v>
      </c>
      <c r="G32" s="239">
        <f t="shared" si="3"/>
        <v>0</v>
      </c>
      <c r="H32" s="239">
        <f t="shared" si="3"/>
        <v>5458.5</v>
      </c>
      <c r="I32" s="239">
        <f t="shared" si="3"/>
        <v>5458.5</v>
      </c>
      <c r="J32" s="239">
        <f t="shared" si="3"/>
        <v>5458.5</v>
      </c>
      <c r="K32" s="129"/>
    </row>
    <row r="33" spans="2:15" x14ac:dyDescent="0.25">
      <c r="B33" s="78" t="s">
        <v>243</v>
      </c>
      <c r="C33" s="21">
        <f t="shared" si="2"/>
        <v>5</v>
      </c>
      <c r="D33" s="21">
        <f t="shared" si="2"/>
        <v>6</v>
      </c>
      <c r="E33" s="21">
        <f t="shared" si="2"/>
        <v>4</v>
      </c>
      <c r="F33" s="21" t="str">
        <f t="shared" si="2"/>
        <v>N/A</v>
      </c>
      <c r="G33" s="239">
        <f t="shared" si="3"/>
        <v>5458.5</v>
      </c>
      <c r="H33" s="239">
        <f t="shared" si="3"/>
        <v>5458.5</v>
      </c>
      <c r="I33" s="239">
        <f t="shared" si="3"/>
        <v>0</v>
      </c>
      <c r="J33" s="239">
        <f t="shared" si="3"/>
        <v>0</v>
      </c>
      <c r="K33" s="129"/>
    </row>
    <row r="34" spans="2:15" x14ac:dyDescent="0.25">
      <c r="B34" s="78" t="s">
        <v>244</v>
      </c>
      <c r="C34" s="21">
        <f t="shared" si="2"/>
        <v>5</v>
      </c>
      <c r="D34" s="21">
        <f t="shared" si="2"/>
        <v>7</v>
      </c>
      <c r="E34" s="21" t="str">
        <f t="shared" si="2"/>
        <v>N/A</v>
      </c>
      <c r="F34" s="21" t="str">
        <f t="shared" si="2"/>
        <v>N/A</v>
      </c>
      <c r="G34" s="239">
        <f t="shared" si="3"/>
        <v>5458.5</v>
      </c>
      <c r="H34" s="239">
        <f t="shared" si="3"/>
        <v>5458.5</v>
      </c>
      <c r="I34" s="239">
        <f t="shared" si="3"/>
        <v>0</v>
      </c>
      <c r="J34" s="239">
        <f t="shared" si="3"/>
        <v>0</v>
      </c>
      <c r="K34" s="129"/>
    </row>
    <row r="35" spans="2:15" x14ac:dyDescent="0.25">
      <c r="B35" s="170" t="s">
        <v>76</v>
      </c>
      <c r="C35" s="173" t="s">
        <v>458</v>
      </c>
      <c r="D35" s="44"/>
      <c r="E35" s="44"/>
      <c r="F35" s="44"/>
      <c r="G35" s="129"/>
      <c r="H35" s="129"/>
      <c r="I35" s="129"/>
      <c r="J35" s="129"/>
      <c r="K35" s="129"/>
    </row>
    <row r="36" spans="2:15" x14ac:dyDescent="0.25">
      <c r="K36" s="129"/>
    </row>
    <row r="37" spans="2:15" x14ac:dyDescent="0.25">
      <c r="B37" s="346" t="s">
        <v>286</v>
      </c>
      <c r="C37" s="343" t="s">
        <v>69</v>
      </c>
      <c r="D37" s="343" t="s">
        <v>237</v>
      </c>
      <c r="E37" s="343" t="s">
        <v>28</v>
      </c>
      <c r="F37" s="343" t="s">
        <v>238</v>
      </c>
      <c r="G37" s="360" t="s">
        <v>394</v>
      </c>
      <c r="H37" s="361"/>
      <c r="I37" s="361"/>
      <c r="J37" s="362"/>
      <c r="K37" s="129"/>
    </row>
    <row r="38" spans="2:15" x14ac:dyDescent="0.25">
      <c r="B38" s="347"/>
      <c r="C38" s="344"/>
      <c r="D38" s="344"/>
      <c r="E38" s="344"/>
      <c r="F38" s="344"/>
      <c r="G38" s="34" t="s">
        <v>69</v>
      </c>
      <c r="H38" s="34" t="s">
        <v>237</v>
      </c>
      <c r="I38" s="34" t="s">
        <v>28</v>
      </c>
      <c r="J38" s="34" t="s">
        <v>238</v>
      </c>
      <c r="K38" s="33"/>
    </row>
    <row r="39" spans="2:15" x14ac:dyDescent="0.25">
      <c r="B39" s="259" t="str">
        <f>B29</f>
        <v>Ruta principal</v>
      </c>
      <c r="C39" s="258">
        <f>C29</f>
        <v>1</v>
      </c>
      <c r="D39" s="258">
        <f t="shared" ref="D39:F39" si="4">D29</f>
        <v>2</v>
      </c>
      <c r="E39" s="258">
        <f t="shared" si="4"/>
        <v>4</v>
      </c>
      <c r="F39" s="258" t="str">
        <f t="shared" si="4"/>
        <v>N/A</v>
      </c>
      <c r="G39" s="260">
        <f>G20</f>
        <v>20554</v>
      </c>
      <c r="H39" s="260">
        <f t="shared" ref="H39:J39" si="5">H20</f>
        <v>8833.5</v>
      </c>
      <c r="I39" s="260">
        <f t="shared" si="5"/>
        <v>5458.5</v>
      </c>
      <c r="J39" s="260">
        <f t="shared" si="5"/>
        <v>0</v>
      </c>
      <c r="K39" s="33"/>
    </row>
    <row r="40" spans="2:15" x14ac:dyDescent="0.25">
      <c r="B40" s="78" t="s">
        <v>241</v>
      </c>
      <c r="C40" s="21">
        <f t="shared" ref="C40:F44" si="6">C30</f>
        <v>1</v>
      </c>
      <c r="D40" s="21">
        <f t="shared" si="6"/>
        <v>2</v>
      </c>
      <c r="E40" s="21">
        <f t="shared" si="6"/>
        <v>6</v>
      </c>
      <c r="F40" s="21">
        <f t="shared" si="6"/>
        <v>7</v>
      </c>
      <c r="G40" s="242">
        <f t="shared" ref="G40:J44" si="7">G21+G30</f>
        <v>20554</v>
      </c>
      <c r="H40" s="242">
        <f t="shared" si="7"/>
        <v>8833.5</v>
      </c>
      <c r="I40" s="242">
        <f t="shared" si="7"/>
        <v>8390.5</v>
      </c>
      <c r="J40" s="242">
        <f t="shared" si="7"/>
        <v>28203.5</v>
      </c>
      <c r="K40" s="232"/>
    </row>
    <row r="41" spans="2:15" x14ac:dyDescent="0.25">
      <c r="B41" s="78" t="s">
        <v>240</v>
      </c>
      <c r="C41" s="21">
        <f t="shared" si="6"/>
        <v>1</v>
      </c>
      <c r="D41" s="21">
        <f t="shared" si="6"/>
        <v>3</v>
      </c>
      <c r="E41" s="21">
        <f t="shared" si="6"/>
        <v>4</v>
      </c>
      <c r="F41" s="21" t="str">
        <f t="shared" si="6"/>
        <v>N/A</v>
      </c>
      <c r="G41" s="242">
        <f t="shared" si="7"/>
        <v>20554</v>
      </c>
      <c r="H41" s="242">
        <f t="shared" si="7"/>
        <v>8094</v>
      </c>
      <c r="I41" s="242">
        <f t="shared" si="7"/>
        <v>5458.5</v>
      </c>
      <c r="J41" s="242">
        <f t="shared" si="7"/>
        <v>0</v>
      </c>
      <c r="K41" s="232"/>
      <c r="L41" s="147"/>
      <c r="M41" s="28"/>
      <c r="N41" s="28"/>
      <c r="O41" s="28"/>
    </row>
    <row r="42" spans="2:15" x14ac:dyDescent="0.25">
      <c r="B42" s="78" t="s">
        <v>242</v>
      </c>
      <c r="C42" s="21">
        <f t="shared" si="6"/>
        <v>1</v>
      </c>
      <c r="D42" s="21">
        <f t="shared" si="6"/>
        <v>3</v>
      </c>
      <c r="E42" s="21">
        <f t="shared" si="6"/>
        <v>6</v>
      </c>
      <c r="F42" s="21">
        <f t="shared" si="6"/>
        <v>7</v>
      </c>
      <c r="G42" s="242">
        <f t="shared" si="7"/>
        <v>20554</v>
      </c>
      <c r="H42" s="242">
        <f t="shared" si="7"/>
        <v>8094</v>
      </c>
      <c r="I42" s="242">
        <f t="shared" si="7"/>
        <v>8390.5</v>
      </c>
      <c r="J42" s="242">
        <f t="shared" si="7"/>
        <v>28203.5</v>
      </c>
      <c r="K42" s="232"/>
      <c r="L42" s="147"/>
      <c r="M42" s="28"/>
      <c r="N42" s="28"/>
      <c r="O42" s="28"/>
    </row>
    <row r="43" spans="2:15" x14ac:dyDescent="0.25">
      <c r="B43" s="78" t="s">
        <v>243</v>
      </c>
      <c r="C43" s="21">
        <f t="shared" si="6"/>
        <v>5</v>
      </c>
      <c r="D43" s="21">
        <f t="shared" si="6"/>
        <v>6</v>
      </c>
      <c r="E43" s="21">
        <f t="shared" si="6"/>
        <v>4</v>
      </c>
      <c r="F43" s="21" t="str">
        <f t="shared" si="6"/>
        <v>N/A</v>
      </c>
      <c r="G43" s="242">
        <f t="shared" si="7"/>
        <v>9368.5</v>
      </c>
      <c r="H43" s="242">
        <f t="shared" si="7"/>
        <v>8390.5</v>
      </c>
      <c r="I43" s="242">
        <f t="shared" si="7"/>
        <v>5458.5</v>
      </c>
      <c r="J43" s="242">
        <f t="shared" si="7"/>
        <v>0</v>
      </c>
      <c r="K43" s="232"/>
      <c r="L43" s="147"/>
      <c r="M43" s="28"/>
      <c r="N43" s="28"/>
      <c r="O43" s="28"/>
    </row>
    <row r="44" spans="2:15" x14ac:dyDescent="0.25">
      <c r="B44" s="78" t="s">
        <v>244</v>
      </c>
      <c r="C44" s="21">
        <f t="shared" si="6"/>
        <v>5</v>
      </c>
      <c r="D44" s="21">
        <f t="shared" si="6"/>
        <v>7</v>
      </c>
      <c r="E44" s="21" t="str">
        <f t="shared" si="6"/>
        <v>N/A</v>
      </c>
      <c r="F44" s="21" t="str">
        <f t="shared" si="6"/>
        <v>N/A</v>
      </c>
      <c r="G44" s="242">
        <f t="shared" si="7"/>
        <v>9368.5</v>
      </c>
      <c r="H44" s="242">
        <f t="shared" si="7"/>
        <v>28203.5</v>
      </c>
      <c r="I44" s="242">
        <f t="shared" si="7"/>
        <v>0</v>
      </c>
      <c r="J44" s="242">
        <f t="shared" si="7"/>
        <v>0</v>
      </c>
      <c r="K44" s="232"/>
      <c r="L44" s="147"/>
      <c r="M44" s="28"/>
      <c r="N44" s="28"/>
      <c r="O44" s="28"/>
    </row>
    <row r="45" spans="2:15" x14ac:dyDescent="0.25">
      <c r="B45" s="26" t="s">
        <v>79</v>
      </c>
      <c r="C45" s="132" t="s">
        <v>393</v>
      </c>
      <c r="D45" s="149"/>
      <c r="E45" s="149"/>
      <c r="F45" s="149"/>
      <c r="G45" s="129"/>
      <c r="H45" s="33"/>
      <c r="I45" s="33"/>
      <c r="J45" s="33"/>
      <c r="K45" s="232"/>
      <c r="L45" s="147"/>
      <c r="M45" s="28"/>
      <c r="N45" s="28"/>
      <c r="O45" s="28"/>
    </row>
    <row r="46" spans="2:15" x14ac:dyDescent="0.25">
      <c r="B46" s="26"/>
      <c r="C46" s="132"/>
      <c r="D46" s="149"/>
      <c r="E46" s="149"/>
      <c r="F46" s="149"/>
      <c r="G46" s="129"/>
      <c r="H46" s="33"/>
      <c r="I46" s="33"/>
      <c r="J46" s="33"/>
      <c r="K46" s="232"/>
      <c r="L46" s="147"/>
      <c r="M46" s="28"/>
      <c r="N46" s="28"/>
      <c r="O46" s="28"/>
    </row>
    <row r="47" spans="2:15" x14ac:dyDescent="0.25">
      <c r="B47" s="346" t="s">
        <v>286</v>
      </c>
      <c r="C47" s="336" t="s">
        <v>444</v>
      </c>
      <c r="D47" s="336"/>
      <c r="E47" s="336"/>
      <c r="F47" s="336"/>
      <c r="G47" s="360" t="s">
        <v>394</v>
      </c>
      <c r="H47" s="361"/>
      <c r="I47" s="361"/>
      <c r="J47" s="362"/>
      <c r="K47" s="243"/>
      <c r="L47" s="147"/>
      <c r="M47" s="28"/>
      <c r="N47" s="28"/>
      <c r="O47" s="28"/>
    </row>
    <row r="48" spans="2:15" x14ac:dyDescent="0.25">
      <c r="B48" s="347"/>
      <c r="C48" s="244" t="s">
        <v>69</v>
      </c>
      <c r="D48" s="244" t="s">
        <v>237</v>
      </c>
      <c r="E48" s="244" t="s">
        <v>28</v>
      </c>
      <c r="F48" s="244" t="s">
        <v>238</v>
      </c>
      <c r="G48" s="34" t="s">
        <v>69</v>
      </c>
      <c r="H48" s="34" t="s">
        <v>237</v>
      </c>
      <c r="I48" s="34" t="s">
        <v>28</v>
      </c>
      <c r="J48" s="34" t="s">
        <v>238</v>
      </c>
    </row>
    <row r="49" spans="2:17" x14ac:dyDescent="0.25">
      <c r="B49" s="259" t="str">
        <f>B39</f>
        <v>Ruta principal</v>
      </c>
      <c r="C49" s="234" t="str">
        <f t="shared" ref="C49:C54" si="8">IF(C39=$C$6,$C$11,IF(C39=$D$6,$D$11,IF(C39=$E$6,$E$11,IF(C39=$F$6,$F$11,IF(C39=$G$6,$G$11,IF(C39=$H$6,$H$11,IF(C39=$I$6,$I$11,0)))))))</f>
        <v>CUOTA 2 Carriles</v>
      </c>
      <c r="D49" s="234" t="str">
        <f t="shared" ref="D49:F49" si="9">IF(D39=$C$6,$C$11,IF(D39=$D$6,$D$11,IF(D39=$E$6,$E$11,IF(D39=$F$6,$F$11,IF(D39=$G$6,$G$11,IF(D39=$H$6,$H$11,IF(D39=$I$6,$I$11,0)))))))</f>
        <v>"B" 2 Carriles</v>
      </c>
      <c r="E49" s="234" t="str">
        <f t="shared" si="9"/>
        <v>"C" 2 Carriles</v>
      </c>
      <c r="F49" s="234">
        <f t="shared" si="9"/>
        <v>0</v>
      </c>
      <c r="G49" s="261">
        <f>G39/1000</f>
        <v>20.553999999999998</v>
      </c>
      <c r="H49" s="261">
        <f t="shared" ref="H49:J50" si="10">H39/1000</f>
        <v>8.8335000000000008</v>
      </c>
      <c r="I49" s="261">
        <f t="shared" si="10"/>
        <v>5.4584999999999999</v>
      </c>
      <c r="J49" s="261">
        <f t="shared" si="10"/>
        <v>0</v>
      </c>
    </row>
    <row r="50" spans="2:17" x14ac:dyDescent="0.25">
      <c r="B50" s="78" t="s">
        <v>241</v>
      </c>
      <c r="C50" s="234" t="str">
        <f t="shared" si="8"/>
        <v>CUOTA 2 Carriles</v>
      </c>
      <c r="D50" s="234" t="str">
        <f t="shared" ref="D50:F54" si="11">IF(D40=$C$6,$C$11,IF(D40=$D$6,$D$11,IF(D40=$E$6,$E$11,IF(D40=$F$6,$F$11,IF(D40=$G$6,$G$11,IF(D40=$H$6,$H$11,IF(D40=$I$6,$I$11,0)))))))</f>
        <v>"B" 2 Carriles</v>
      </c>
      <c r="E50" s="234" t="str">
        <f t="shared" si="11"/>
        <v>CUOTA 2 Carriles</v>
      </c>
      <c r="F50" s="234" t="str">
        <f t="shared" si="11"/>
        <v>CUOTA 4+ Carriles</v>
      </c>
      <c r="G50" s="242">
        <f>G40/1000</f>
        <v>20.553999999999998</v>
      </c>
      <c r="H50" s="242">
        <f t="shared" si="10"/>
        <v>8.8335000000000008</v>
      </c>
      <c r="I50" s="242">
        <f t="shared" si="10"/>
        <v>8.3904999999999994</v>
      </c>
      <c r="J50" s="242">
        <f t="shared" si="10"/>
        <v>28.203499999999998</v>
      </c>
    </row>
    <row r="51" spans="2:17" x14ac:dyDescent="0.25">
      <c r="B51" s="78" t="s">
        <v>240</v>
      </c>
      <c r="C51" s="234" t="str">
        <f t="shared" si="8"/>
        <v>CUOTA 2 Carriles</v>
      </c>
      <c r="D51" s="234" t="str">
        <f t="shared" si="11"/>
        <v>CUOTA 2 Carriles</v>
      </c>
      <c r="E51" s="234" t="str">
        <f t="shared" si="11"/>
        <v>"C" 2 Carriles</v>
      </c>
      <c r="F51" s="234">
        <f t="shared" si="11"/>
        <v>0</v>
      </c>
      <c r="G51" s="242">
        <f t="shared" ref="G51:J54" si="12">G41/1000</f>
        <v>20.553999999999998</v>
      </c>
      <c r="H51" s="242">
        <f t="shared" si="12"/>
        <v>8.0939999999999994</v>
      </c>
      <c r="I51" s="242">
        <f t="shared" si="12"/>
        <v>5.4584999999999999</v>
      </c>
      <c r="J51" s="242">
        <f t="shared" si="12"/>
        <v>0</v>
      </c>
    </row>
    <row r="52" spans="2:17" x14ac:dyDescent="0.25">
      <c r="B52" s="78" t="s">
        <v>242</v>
      </c>
      <c r="C52" s="234" t="str">
        <f t="shared" si="8"/>
        <v>CUOTA 2 Carriles</v>
      </c>
      <c r="D52" s="234" t="str">
        <f t="shared" si="11"/>
        <v>CUOTA 2 Carriles</v>
      </c>
      <c r="E52" s="234" t="str">
        <f t="shared" si="11"/>
        <v>CUOTA 2 Carriles</v>
      </c>
      <c r="F52" s="234" t="str">
        <f t="shared" si="11"/>
        <v>CUOTA 4+ Carriles</v>
      </c>
      <c r="G52" s="242">
        <f t="shared" si="12"/>
        <v>20.553999999999998</v>
      </c>
      <c r="H52" s="242">
        <f t="shared" si="12"/>
        <v>8.0939999999999994</v>
      </c>
      <c r="I52" s="242">
        <f t="shared" si="12"/>
        <v>8.3904999999999994</v>
      </c>
      <c r="J52" s="242">
        <f t="shared" si="12"/>
        <v>28.203499999999998</v>
      </c>
    </row>
    <row r="53" spans="2:17" x14ac:dyDescent="0.25">
      <c r="B53" s="78" t="s">
        <v>243</v>
      </c>
      <c r="C53" s="234" t="str">
        <f t="shared" si="8"/>
        <v>CUOTA 2 Carriles</v>
      </c>
      <c r="D53" s="234" t="str">
        <f t="shared" si="11"/>
        <v>CUOTA 2 Carriles</v>
      </c>
      <c r="E53" s="234" t="str">
        <f t="shared" si="11"/>
        <v>"C" 2 Carriles</v>
      </c>
      <c r="F53" s="234">
        <f t="shared" si="11"/>
        <v>0</v>
      </c>
      <c r="G53" s="242">
        <f t="shared" si="12"/>
        <v>9.3684999999999992</v>
      </c>
      <c r="H53" s="242">
        <f t="shared" si="12"/>
        <v>8.3904999999999994</v>
      </c>
      <c r="I53" s="242">
        <f t="shared" si="12"/>
        <v>5.4584999999999999</v>
      </c>
      <c r="J53" s="242">
        <f t="shared" si="12"/>
        <v>0</v>
      </c>
    </row>
    <row r="54" spans="2:17" x14ac:dyDescent="0.25">
      <c r="B54" s="78" t="s">
        <v>244</v>
      </c>
      <c r="C54" s="234" t="str">
        <f t="shared" si="8"/>
        <v>CUOTA 2 Carriles</v>
      </c>
      <c r="D54" s="234" t="str">
        <f t="shared" si="11"/>
        <v>CUOTA 4+ Carriles</v>
      </c>
      <c r="E54" s="234">
        <f t="shared" si="11"/>
        <v>0</v>
      </c>
      <c r="F54" s="234">
        <f t="shared" si="11"/>
        <v>0</v>
      </c>
      <c r="G54" s="242">
        <f t="shared" si="12"/>
        <v>9.3684999999999992</v>
      </c>
      <c r="H54" s="242">
        <f t="shared" si="12"/>
        <v>28.203499999999998</v>
      </c>
      <c r="I54" s="242">
        <f t="shared" si="12"/>
        <v>0</v>
      </c>
      <c r="J54" s="242">
        <f t="shared" si="12"/>
        <v>0</v>
      </c>
    </row>
    <row r="55" spans="2:17" x14ac:dyDescent="0.25">
      <c r="B55" s="26" t="s">
        <v>79</v>
      </c>
      <c r="C55" s="132" t="s">
        <v>393</v>
      </c>
    </row>
    <row r="56" spans="2:17" x14ac:dyDescent="0.25">
      <c r="B56" s="26"/>
      <c r="C56" s="132"/>
      <c r="L56" s="257" t="s">
        <v>348</v>
      </c>
      <c r="M56" s="8" t="s">
        <v>406</v>
      </c>
      <c r="N56" s="5"/>
      <c r="O56" s="238" t="s">
        <v>69</v>
      </c>
      <c r="P56" s="238" t="s">
        <v>237</v>
      </c>
      <c r="Q56" s="238" t="s">
        <v>28</v>
      </c>
    </row>
    <row r="57" spans="2:17" s="4" customFormat="1" x14ac:dyDescent="0.25">
      <c r="B57" s="346" t="s">
        <v>286</v>
      </c>
      <c r="C57" s="336" t="s">
        <v>444</v>
      </c>
      <c r="D57" s="336"/>
      <c r="E57" s="336"/>
      <c r="F57" s="336"/>
      <c r="G57" s="360" t="s">
        <v>470</v>
      </c>
      <c r="H57" s="361"/>
      <c r="I57" s="361"/>
      <c r="J57" s="362"/>
      <c r="L57" s="245" t="str">
        <f>LISTA!C17</f>
        <v>CUOTA 4+ Carriles</v>
      </c>
      <c r="M57" s="5" t="s">
        <v>407</v>
      </c>
      <c r="N57" s="5"/>
      <c r="O57" s="238">
        <v>-9.0000000000000006E-5</v>
      </c>
      <c r="P57" s="238">
        <v>1.6379999999999999E-2</v>
      </c>
      <c r="Q57" s="238">
        <v>4.7699999999999999E-3</v>
      </c>
    </row>
    <row r="58" spans="2:17" x14ac:dyDescent="0.25">
      <c r="B58" s="347"/>
      <c r="C58" s="231" t="s">
        <v>69</v>
      </c>
      <c r="D58" s="231" t="s">
        <v>237</v>
      </c>
      <c r="E58" s="231" t="s">
        <v>28</v>
      </c>
      <c r="F58" s="231" t="s">
        <v>238</v>
      </c>
      <c r="G58" s="34" t="s">
        <v>69</v>
      </c>
      <c r="H58" s="34" t="s">
        <v>237</v>
      </c>
      <c r="I58" s="34" t="s">
        <v>28</v>
      </c>
      <c r="J58" s="34" t="s">
        <v>238</v>
      </c>
      <c r="L58" s="245" t="str">
        <f>LISTA!C14</f>
        <v>CUOTA 2 Carriles</v>
      </c>
      <c r="M58" s="5" t="s">
        <v>411</v>
      </c>
      <c r="N58" s="5"/>
      <c r="O58" s="238">
        <v>-1.8E-3</v>
      </c>
      <c r="P58" s="238">
        <v>3.7400000000000003E-2</v>
      </c>
      <c r="Q58" s="238">
        <v>5.3E-3</v>
      </c>
    </row>
    <row r="59" spans="2:17" x14ac:dyDescent="0.25">
      <c r="B59" s="259" t="str">
        <f>B49</f>
        <v>Ruta principal</v>
      </c>
      <c r="C59" s="263" t="str">
        <f t="shared" ref="C59:F59" si="13">C49</f>
        <v>CUOTA 2 Carriles</v>
      </c>
      <c r="D59" s="263" t="str">
        <f t="shared" si="13"/>
        <v>"B" 2 Carriles</v>
      </c>
      <c r="E59" s="263" t="str">
        <f t="shared" si="13"/>
        <v>"C" 2 Carriles</v>
      </c>
      <c r="F59" s="263">
        <f t="shared" si="13"/>
        <v>0</v>
      </c>
      <c r="G59" s="261">
        <f t="shared" ref="G59:J64" si="14">IF(C59=0,0,INDEX($O$57:$Q$64,MATCH(C59,$L$57:$L$64,0),1)*G49*G49+INDEX($O$57:$Q$64,MATCH(C59,$L$57:$L$64,0),2)*G49+INDEX($O$57:$Q$64,MATCH(C59,$L$57:$L$64,0),3))</f>
        <v>1.3579151200000111E-2</v>
      </c>
      <c r="H59" s="261">
        <f t="shared" si="14"/>
        <v>0.16624156110000002</v>
      </c>
      <c r="I59" s="261">
        <f t="shared" si="14"/>
        <v>9.8289461099999989E-2</v>
      </c>
      <c r="J59" s="261">
        <f t="shared" si="14"/>
        <v>0</v>
      </c>
      <c r="L59" s="245" t="str">
        <f>LISTA!C15</f>
        <v>"A" 4+ Carriles</v>
      </c>
      <c r="M59" s="5" t="s">
        <v>414</v>
      </c>
      <c r="N59" s="5"/>
      <c r="O59" s="238">
        <v>-5.0000000000000002E-5</v>
      </c>
      <c r="P59" s="238">
        <v>7.28E-3</v>
      </c>
      <c r="Q59" s="238">
        <v>9.8500000000000004E-2</v>
      </c>
    </row>
    <row r="60" spans="2:17" x14ac:dyDescent="0.25">
      <c r="B60" s="78" t="s">
        <v>241</v>
      </c>
      <c r="C60" s="234" t="str">
        <f t="shared" ref="C60:F64" si="15">C50</f>
        <v>CUOTA 2 Carriles</v>
      </c>
      <c r="D60" s="234" t="str">
        <f t="shared" si="15"/>
        <v>"B" 2 Carriles</v>
      </c>
      <c r="E60" s="234" t="str">
        <f t="shared" si="15"/>
        <v>CUOTA 2 Carriles</v>
      </c>
      <c r="F60" s="234" t="str">
        <f t="shared" si="15"/>
        <v>CUOTA 4+ Carriles</v>
      </c>
      <c r="G60" s="242">
        <f t="shared" si="14"/>
        <v>1.3579151200000111E-2</v>
      </c>
      <c r="H60" s="242">
        <f t="shared" si="14"/>
        <v>0.16624156110000002</v>
      </c>
      <c r="I60" s="242">
        <f t="shared" si="14"/>
        <v>0.19238381755</v>
      </c>
      <c r="J60" s="242">
        <f t="shared" si="14"/>
        <v>0.39515396289749999</v>
      </c>
      <c r="K60" s="5"/>
      <c r="L60" s="245" t="str">
        <f>LISTA!C10</f>
        <v>"A" 2 Carriles</v>
      </c>
      <c r="M60" s="5" t="s">
        <v>417</v>
      </c>
      <c r="N60" s="5"/>
      <c r="O60" s="238">
        <v>-2.9999999999999997E-4</v>
      </c>
      <c r="P60" s="238">
        <v>1.95E-2</v>
      </c>
      <c r="Q60" s="238">
        <v>6.6E-3</v>
      </c>
    </row>
    <row r="61" spans="2:17" x14ac:dyDescent="0.25">
      <c r="B61" s="78" t="s">
        <v>240</v>
      </c>
      <c r="C61" s="234" t="str">
        <f t="shared" si="15"/>
        <v>CUOTA 2 Carriles</v>
      </c>
      <c r="D61" s="234" t="str">
        <f t="shared" si="15"/>
        <v>CUOTA 2 Carriles</v>
      </c>
      <c r="E61" s="234" t="str">
        <f t="shared" si="15"/>
        <v>"C" 2 Carriles</v>
      </c>
      <c r="F61" s="234">
        <f t="shared" si="15"/>
        <v>0</v>
      </c>
      <c r="G61" s="242">
        <f t="shared" si="14"/>
        <v>1.3579151200000111E-2</v>
      </c>
      <c r="H61" s="242">
        <f t="shared" si="14"/>
        <v>0.19009249519999999</v>
      </c>
      <c r="I61" s="242">
        <f t="shared" si="14"/>
        <v>9.8289461099999989E-2</v>
      </c>
      <c r="J61" s="242">
        <f t="shared" si="14"/>
        <v>0</v>
      </c>
      <c r="L61" s="245" t="str">
        <f>LISTA!C16</f>
        <v>"B" 4+ Carriles</v>
      </c>
      <c r="M61" s="5" t="s">
        <v>420</v>
      </c>
      <c r="N61" s="5"/>
      <c r="O61" s="238">
        <v>-1E-4</v>
      </c>
      <c r="P61" s="238">
        <v>1.3299999999999999E-2</v>
      </c>
      <c r="Q61" s="238">
        <v>4.6600000000000003E-2</v>
      </c>
    </row>
    <row r="62" spans="2:17" x14ac:dyDescent="0.25">
      <c r="B62" s="78" t="s">
        <v>242</v>
      </c>
      <c r="C62" s="234" t="str">
        <f t="shared" si="15"/>
        <v>CUOTA 2 Carriles</v>
      </c>
      <c r="D62" s="234" t="str">
        <f t="shared" si="15"/>
        <v>CUOTA 2 Carriles</v>
      </c>
      <c r="E62" s="234" t="str">
        <f t="shared" si="15"/>
        <v>CUOTA 2 Carriles</v>
      </c>
      <c r="F62" s="234" t="str">
        <f t="shared" si="15"/>
        <v>CUOTA 4+ Carriles</v>
      </c>
      <c r="G62" s="242">
        <f t="shared" si="14"/>
        <v>1.3579151200000111E-2</v>
      </c>
      <c r="H62" s="242">
        <f t="shared" si="14"/>
        <v>0.19009249519999999</v>
      </c>
      <c r="I62" s="242">
        <f t="shared" si="14"/>
        <v>0.19238381755</v>
      </c>
      <c r="J62" s="242">
        <f t="shared" si="14"/>
        <v>0.39515396289749999</v>
      </c>
      <c r="L62" s="245" t="str">
        <f>LISTA!C11</f>
        <v>"B" 2 Carriles</v>
      </c>
      <c r="M62" s="5" t="s">
        <v>423</v>
      </c>
      <c r="N62" s="5"/>
      <c r="O62" s="238">
        <v>-4.0000000000000002E-4</v>
      </c>
      <c r="P62" s="238">
        <v>2.3099999999999999E-2</v>
      </c>
      <c r="Q62" s="238">
        <v>-6.6E-3</v>
      </c>
    </row>
    <row r="63" spans="2:17" x14ac:dyDescent="0.25">
      <c r="B63" s="78" t="s">
        <v>243</v>
      </c>
      <c r="C63" s="234" t="str">
        <f t="shared" si="15"/>
        <v>CUOTA 2 Carriles</v>
      </c>
      <c r="D63" s="234" t="str">
        <f t="shared" si="15"/>
        <v>CUOTA 2 Carriles</v>
      </c>
      <c r="E63" s="234" t="str">
        <f t="shared" si="15"/>
        <v>"C" 2 Carriles</v>
      </c>
      <c r="F63" s="234">
        <f t="shared" si="15"/>
        <v>0</v>
      </c>
      <c r="G63" s="242">
        <f t="shared" si="14"/>
        <v>0.19769807395</v>
      </c>
      <c r="H63" s="242">
        <f t="shared" si="14"/>
        <v>0.19238381755</v>
      </c>
      <c r="I63" s="242">
        <f t="shared" si="14"/>
        <v>9.8289461099999989E-2</v>
      </c>
      <c r="J63" s="242">
        <f t="shared" si="14"/>
        <v>0</v>
      </c>
      <c r="L63" s="245" t="str">
        <f>LISTA!C12</f>
        <v>"C" 2 Carriles</v>
      </c>
      <c r="M63" s="5" t="s">
        <v>426</v>
      </c>
      <c r="N63" s="5"/>
      <c r="O63" s="238">
        <v>-4.0000000000000002E-4</v>
      </c>
      <c r="P63" s="238">
        <v>2.0299999999999999E-2</v>
      </c>
      <c r="Q63" s="238">
        <v>-5.9999999999999995E-4</v>
      </c>
    </row>
    <row r="64" spans="2:17" x14ac:dyDescent="0.25">
      <c r="B64" s="78" t="s">
        <v>244</v>
      </c>
      <c r="C64" s="234" t="str">
        <f t="shared" si="15"/>
        <v>CUOTA 2 Carriles</v>
      </c>
      <c r="D64" s="234" t="str">
        <f t="shared" si="15"/>
        <v>CUOTA 4+ Carriles</v>
      </c>
      <c r="E64" s="234">
        <f t="shared" si="15"/>
        <v>0</v>
      </c>
      <c r="F64" s="234">
        <f t="shared" si="15"/>
        <v>0</v>
      </c>
      <c r="G64" s="242">
        <f t="shared" si="14"/>
        <v>0.19769807395</v>
      </c>
      <c r="H64" s="242">
        <f t="shared" si="14"/>
        <v>0.39515396289749999</v>
      </c>
      <c r="I64" s="242">
        <f t="shared" si="14"/>
        <v>0</v>
      </c>
      <c r="J64" s="242">
        <f t="shared" si="14"/>
        <v>0</v>
      </c>
      <c r="L64" s="245" t="str">
        <f>LISTA!C13</f>
        <v>"D" 2 Carriles</v>
      </c>
      <c r="M64" s="5" t="s">
        <v>429</v>
      </c>
      <c r="N64" s="5"/>
      <c r="O64" s="238">
        <v>-8.0000000000000004E-4</v>
      </c>
      <c r="P64" s="238">
        <v>2.2599999999999999E-2</v>
      </c>
      <c r="Q64" s="238">
        <v>2.8999999999999998E-3</v>
      </c>
    </row>
    <row r="65" spans="2:18" x14ac:dyDescent="0.25">
      <c r="B65" s="26" t="s">
        <v>76</v>
      </c>
      <c r="C65" s="5" t="s">
        <v>403</v>
      </c>
    </row>
    <row r="66" spans="2:18" x14ac:dyDescent="0.25">
      <c r="B66" s="26"/>
      <c r="C66" s="5"/>
    </row>
    <row r="67" spans="2:18" ht="14.45" customHeight="1" x14ac:dyDescent="0.25">
      <c r="B67" s="346" t="s">
        <v>286</v>
      </c>
      <c r="C67" s="336" t="s">
        <v>445</v>
      </c>
      <c r="D67" s="336"/>
      <c r="E67" s="336"/>
      <c r="F67" s="336"/>
      <c r="G67" s="360" t="s">
        <v>471</v>
      </c>
      <c r="H67" s="361"/>
      <c r="I67" s="361"/>
      <c r="J67" s="361"/>
      <c r="K67" s="264" t="s">
        <v>431</v>
      </c>
      <c r="L67" s="229" t="s">
        <v>216</v>
      </c>
      <c r="M67" s="229" t="s">
        <v>450</v>
      </c>
      <c r="N67" s="229" t="s">
        <v>451</v>
      </c>
      <c r="O67" s="229" t="s">
        <v>452</v>
      </c>
      <c r="P67" s="229" t="s">
        <v>453</v>
      </c>
      <c r="Q67" s="229" t="s">
        <v>455</v>
      </c>
      <c r="R67" s="296" t="s">
        <v>510</v>
      </c>
    </row>
    <row r="68" spans="2:18" x14ac:dyDescent="0.25">
      <c r="B68" s="347"/>
      <c r="C68" s="230" t="s">
        <v>69</v>
      </c>
      <c r="D68" s="230" t="s">
        <v>237</v>
      </c>
      <c r="E68" s="230" t="s">
        <v>28</v>
      </c>
      <c r="F68" s="230" t="s">
        <v>238</v>
      </c>
      <c r="G68" s="34" t="s">
        <v>69</v>
      </c>
      <c r="H68" s="34" t="s">
        <v>237</v>
      </c>
      <c r="I68" s="34" t="s">
        <v>28</v>
      </c>
      <c r="J68" s="34" t="s">
        <v>238</v>
      </c>
      <c r="K68" s="264" t="s">
        <v>472</v>
      </c>
      <c r="L68" s="234" t="s">
        <v>345</v>
      </c>
      <c r="M68" s="234" t="s">
        <v>345</v>
      </c>
      <c r="N68" s="234" t="s">
        <v>14</v>
      </c>
      <c r="O68" s="234" t="s">
        <v>15</v>
      </c>
      <c r="P68" s="234" t="s">
        <v>454</v>
      </c>
      <c r="Q68" s="234" t="s">
        <v>279</v>
      </c>
      <c r="R68" s="302" t="s">
        <v>530</v>
      </c>
    </row>
    <row r="69" spans="2:18" x14ac:dyDescent="0.25">
      <c r="B69" s="259" t="str">
        <f>B59</f>
        <v>Ruta principal</v>
      </c>
      <c r="C69" s="234">
        <f t="shared" ref="C69:F74" si="16">IF(C39=$C$6,$C$10,IF(C39=$D$6,$D$10,IF(C39=$E$6,$E$10,IF(C39=$F$6,$F$10,IF(C39=$G$6,$G$10,IF(C39=$H$6,$H$10,IF(C39=$I$6,$I$10,0)))))))</f>
        <v>45.4</v>
      </c>
      <c r="D69" s="234">
        <f t="shared" si="16"/>
        <v>23.3</v>
      </c>
      <c r="E69" s="234">
        <f t="shared" si="16"/>
        <v>53.9</v>
      </c>
      <c r="F69" s="234">
        <f t="shared" si="16"/>
        <v>0</v>
      </c>
      <c r="G69" s="261">
        <f t="shared" ref="G69:G74" si="17">G59*C69</f>
        <v>0.61649346448000508</v>
      </c>
      <c r="H69" s="261">
        <f t="shared" ref="H69:J70" si="18">H59*D69</f>
        <v>3.8734283736300004</v>
      </c>
      <c r="I69" s="261">
        <f t="shared" si="18"/>
        <v>5.2978019532899996</v>
      </c>
      <c r="J69" s="261">
        <f>J59*F69</f>
        <v>0</v>
      </c>
      <c r="K69" s="261">
        <f>SUM(G69:J69)</f>
        <v>9.7877237914000048</v>
      </c>
      <c r="L69" s="265">
        <f ca="1">K69*$C$4</f>
        <v>7824448.252414058</v>
      </c>
      <c r="M69" s="261"/>
      <c r="N69" s="261"/>
      <c r="O69" s="261"/>
      <c r="P69" s="261"/>
      <c r="Q69" s="261"/>
      <c r="R69" s="301">
        <f ca="1">L69/$L$69</f>
        <v>1</v>
      </c>
    </row>
    <row r="70" spans="2:18" x14ac:dyDescent="0.25">
      <c r="B70" s="78" t="s">
        <v>241</v>
      </c>
      <c r="C70" s="234">
        <f t="shared" si="16"/>
        <v>45.4</v>
      </c>
      <c r="D70" s="234">
        <f t="shared" si="16"/>
        <v>23.3</v>
      </c>
      <c r="E70" s="234">
        <f t="shared" si="16"/>
        <v>39.1</v>
      </c>
      <c r="F70" s="234">
        <f t="shared" si="16"/>
        <v>67.2</v>
      </c>
      <c r="G70" s="242">
        <f t="shared" si="17"/>
        <v>0.61649346448000508</v>
      </c>
      <c r="H70" s="242">
        <f t="shared" si="18"/>
        <v>3.8734283736300004</v>
      </c>
      <c r="I70" s="242">
        <f t="shared" si="18"/>
        <v>7.5222072662050001</v>
      </c>
      <c r="J70" s="242">
        <f t="shared" si="18"/>
        <v>26.554346306711999</v>
      </c>
      <c r="K70" s="242">
        <f>SUM(G70:J70)</f>
        <v>38.566475411027</v>
      </c>
      <c r="L70" s="256">
        <f t="shared" ref="L70:L74" ca="1" si="19">K70*$C$4</f>
        <v>30830599.387849804</v>
      </c>
      <c r="M70" s="256">
        <f ca="1">L70-$L$69</f>
        <v>23006151.135435745</v>
      </c>
      <c r="N70" s="256">
        <f ca="1">M70/364</f>
        <v>63203.711910537764</v>
      </c>
      <c r="O70" s="256">
        <f ca="1">N70/24</f>
        <v>2633.4879962724067</v>
      </c>
      <c r="P70" s="256">
        <f ca="1">O70/60</f>
        <v>43.891466604540113</v>
      </c>
      <c r="Q70" s="256">
        <f ca="1">P70/60</f>
        <v>0.73152444340900191</v>
      </c>
      <c r="R70" s="301">
        <f t="shared" ref="R70:R74" ca="1" si="20">L70/$L$69</f>
        <v>3.9402905346505057</v>
      </c>
    </row>
    <row r="71" spans="2:18" x14ac:dyDescent="0.25">
      <c r="B71" s="78" t="s">
        <v>240</v>
      </c>
      <c r="C71" s="234">
        <f t="shared" si="16"/>
        <v>45.4</v>
      </c>
      <c r="D71" s="234">
        <f t="shared" si="16"/>
        <v>23.3</v>
      </c>
      <c r="E71" s="234">
        <f t="shared" si="16"/>
        <v>53.9</v>
      </c>
      <c r="F71" s="234">
        <f t="shared" si="16"/>
        <v>0</v>
      </c>
      <c r="G71" s="242">
        <f t="shared" si="17"/>
        <v>0.61649346448000508</v>
      </c>
      <c r="H71" s="242">
        <f t="shared" ref="H71:J74" si="21">H61*D71</f>
        <v>4.4291551381599996</v>
      </c>
      <c r="I71" s="242">
        <f t="shared" si="21"/>
        <v>5.2978019532899996</v>
      </c>
      <c r="J71" s="242">
        <f t="shared" si="21"/>
        <v>0</v>
      </c>
      <c r="K71" s="242">
        <f t="shared" ref="K71:K74" si="22">SUM(G71:J71)</f>
        <v>10.343450555930005</v>
      </c>
      <c r="L71" s="256">
        <f t="shared" ca="1" si="19"/>
        <v>8268704.2821323341</v>
      </c>
      <c r="M71" s="256">
        <f t="shared" ref="M71:M74" ca="1" si="23">L71-$L$69</f>
        <v>444256.02971827611</v>
      </c>
      <c r="N71" s="256">
        <f t="shared" ref="N71:N74" ca="1" si="24">M71/364</f>
        <v>1220.4835981271322</v>
      </c>
      <c r="O71" s="256">
        <f t="shared" ref="O71:O74" ca="1" si="25">N71/24</f>
        <v>50.853483255297171</v>
      </c>
      <c r="P71" s="256">
        <f t="shared" ref="P71:Q74" ca="1" si="26">O71/60</f>
        <v>0.8475580542549529</v>
      </c>
      <c r="Q71" s="256">
        <f t="shared" ca="1" si="26"/>
        <v>1.4125967570915882E-2</v>
      </c>
      <c r="R71" s="301">
        <f t="shared" ca="1" si="20"/>
        <v>1.0567779369722601</v>
      </c>
    </row>
    <row r="72" spans="2:18" x14ac:dyDescent="0.25">
      <c r="B72" s="78" t="s">
        <v>242</v>
      </c>
      <c r="C72" s="234">
        <f t="shared" si="16"/>
        <v>45.4</v>
      </c>
      <c r="D72" s="234">
        <f t="shared" si="16"/>
        <v>23.3</v>
      </c>
      <c r="E72" s="234">
        <f t="shared" si="16"/>
        <v>39.1</v>
      </c>
      <c r="F72" s="234">
        <f t="shared" si="16"/>
        <v>67.2</v>
      </c>
      <c r="G72" s="242">
        <f t="shared" si="17"/>
        <v>0.61649346448000508</v>
      </c>
      <c r="H72" s="242">
        <f t="shared" si="21"/>
        <v>4.4291551381599996</v>
      </c>
      <c r="I72" s="242">
        <f t="shared" si="21"/>
        <v>7.5222072662050001</v>
      </c>
      <c r="J72" s="242">
        <f t="shared" si="21"/>
        <v>26.554346306711999</v>
      </c>
      <c r="K72" s="242">
        <f t="shared" si="22"/>
        <v>39.122202175557007</v>
      </c>
      <c r="L72" s="256">
        <f t="shared" ca="1" si="19"/>
        <v>31274855.417568088</v>
      </c>
      <c r="M72" s="256">
        <f t="shared" ca="1" si="23"/>
        <v>23450407.165154029</v>
      </c>
      <c r="N72" s="256">
        <f t="shared" ca="1" si="24"/>
        <v>64424.19550866491</v>
      </c>
      <c r="O72" s="256">
        <f t="shared" ca="1" si="25"/>
        <v>2684.3414795277045</v>
      </c>
      <c r="P72" s="256">
        <f t="shared" ca="1" si="26"/>
        <v>44.739024658795074</v>
      </c>
      <c r="Q72" s="256">
        <f t="shared" ca="1" si="26"/>
        <v>0.74565041097991791</v>
      </c>
      <c r="R72" s="301">
        <f t="shared" ca="1" si="20"/>
        <v>3.9970684716227667</v>
      </c>
    </row>
    <row r="73" spans="2:18" x14ac:dyDescent="0.25">
      <c r="B73" s="78" t="s">
        <v>243</v>
      </c>
      <c r="C73" s="234">
        <f t="shared" si="16"/>
        <v>83.1</v>
      </c>
      <c r="D73" s="234">
        <f t="shared" si="16"/>
        <v>39.1</v>
      </c>
      <c r="E73" s="234">
        <f t="shared" si="16"/>
        <v>53.9</v>
      </c>
      <c r="F73" s="234">
        <f t="shared" si="16"/>
        <v>0</v>
      </c>
      <c r="G73" s="242">
        <f t="shared" si="17"/>
        <v>16.428709945245</v>
      </c>
      <c r="H73" s="242">
        <f t="shared" si="21"/>
        <v>7.5222072662050001</v>
      </c>
      <c r="I73" s="242">
        <f t="shared" si="21"/>
        <v>5.2978019532899996</v>
      </c>
      <c r="J73" s="242">
        <f t="shared" si="21"/>
        <v>0</v>
      </c>
      <c r="K73" s="242">
        <f t="shared" si="22"/>
        <v>29.248719164740002</v>
      </c>
      <c r="L73" s="256">
        <f t="shared" ca="1" si="19"/>
        <v>23381850.002242941</v>
      </c>
      <c r="M73" s="256">
        <f t="shared" ca="1" si="23"/>
        <v>15557401.749828883</v>
      </c>
      <c r="N73" s="256">
        <f t="shared" ca="1" si="24"/>
        <v>42740.114697332094</v>
      </c>
      <c r="O73" s="256">
        <f t="shared" ca="1" si="25"/>
        <v>1780.8381123888373</v>
      </c>
      <c r="P73" s="256">
        <f t="shared" ca="1" si="26"/>
        <v>29.680635206480623</v>
      </c>
      <c r="Q73" s="256">
        <f t="shared" ca="1" si="26"/>
        <v>0.49467725344134372</v>
      </c>
      <c r="R73" s="301">
        <f t="shared" ca="1" si="20"/>
        <v>2.9883065550377941</v>
      </c>
    </row>
    <row r="74" spans="2:18" x14ac:dyDescent="0.25">
      <c r="B74" s="78" t="s">
        <v>244</v>
      </c>
      <c r="C74" s="234">
        <f t="shared" si="16"/>
        <v>83.1</v>
      </c>
      <c r="D74" s="234">
        <f t="shared" si="16"/>
        <v>67.2</v>
      </c>
      <c r="E74" s="234">
        <f t="shared" si="16"/>
        <v>0</v>
      </c>
      <c r="F74" s="234">
        <f t="shared" si="16"/>
        <v>0</v>
      </c>
      <c r="G74" s="242">
        <f t="shared" si="17"/>
        <v>16.428709945245</v>
      </c>
      <c r="H74" s="242">
        <f t="shared" si="21"/>
        <v>26.554346306711999</v>
      </c>
      <c r="I74" s="242">
        <f t="shared" si="21"/>
        <v>0</v>
      </c>
      <c r="J74" s="242">
        <f t="shared" si="21"/>
        <v>0</v>
      </c>
      <c r="K74" s="242">
        <f t="shared" si="22"/>
        <v>42.983056251956995</v>
      </c>
      <c r="L74" s="256">
        <f t="shared" ca="1" si="19"/>
        <v>34361278.121635072</v>
      </c>
      <c r="M74" s="256">
        <f t="shared" ca="1" si="23"/>
        <v>26536829.869221013</v>
      </c>
      <c r="N74" s="256">
        <f t="shared" ca="1" si="24"/>
        <v>72903.378761596192</v>
      </c>
      <c r="O74" s="256">
        <f t="shared" ca="1" si="25"/>
        <v>3037.6407817331747</v>
      </c>
      <c r="P74" s="256">
        <f t="shared" ca="1" si="26"/>
        <v>50.627346362219576</v>
      </c>
      <c r="Q74" s="256">
        <f t="shared" ca="1" si="26"/>
        <v>0.84378910603699298</v>
      </c>
      <c r="R74" s="301">
        <f t="shared" ca="1" si="20"/>
        <v>4.3915273017536629</v>
      </c>
    </row>
    <row r="75" spans="2:18" x14ac:dyDescent="0.25">
      <c r="B75" s="26" t="s">
        <v>76</v>
      </c>
      <c r="C75" s="5" t="s">
        <v>403</v>
      </c>
    </row>
    <row r="88" spans="12:19" x14ac:dyDescent="0.25">
      <c r="Q88" s="5"/>
      <c r="R88" s="5"/>
      <c r="S88" s="5"/>
    </row>
    <row r="89" spans="12:19" x14ac:dyDescent="0.25">
      <c r="N89" s="5"/>
      <c r="O89" s="5"/>
      <c r="P89" s="5"/>
      <c r="Q89" s="5"/>
      <c r="R89" s="5"/>
      <c r="S89" s="5"/>
    </row>
    <row r="90" spans="12:19" x14ac:dyDescent="0.25">
      <c r="N90" s="5"/>
      <c r="O90" s="5"/>
      <c r="P90" s="5"/>
      <c r="Q90" s="5"/>
      <c r="R90" s="5"/>
      <c r="S90" s="5"/>
    </row>
    <row r="91" spans="12:19" x14ac:dyDescent="0.25">
      <c r="N91" s="5"/>
      <c r="O91" s="5"/>
      <c r="P91" s="5"/>
      <c r="Q91" s="5"/>
      <c r="R91" s="5"/>
      <c r="S91" s="5"/>
    </row>
    <row r="92" spans="12:19" x14ac:dyDescent="0.25">
      <c r="L92" s="5"/>
      <c r="N92" s="5"/>
      <c r="O92" s="5"/>
      <c r="P92" s="5"/>
      <c r="Q92" s="5"/>
      <c r="R92" s="5"/>
      <c r="S92" s="5"/>
    </row>
    <row r="93" spans="12:19" x14ac:dyDescent="0.25">
      <c r="N93" s="5"/>
      <c r="O93" s="5"/>
      <c r="P93" s="5"/>
      <c r="Q93" s="5"/>
      <c r="R93" s="5"/>
      <c r="S93" s="5"/>
    </row>
    <row r="94" spans="12:19" x14ac:dyDescent="0.25">
      <c r="L94" s="5"/>
      <c r="N94" s="5"/>
      <c r="O94" s="5"/>
      <c r="P94" s="5"/>
      <c r="Q94" s="5"/>
      <c r="R94" s="5"/>
      <c r="S94" s="5"/>
    </row>
    <row r="95" spans="12:19" x14ac:dyDescent="0.25">
      <c r="L95" s="5"/>
      <c r="N95" s="5"/>
      <c r="O95" s="5"/>
      <c r="P95" s="5"/>
      <c r="Q95" s="5"/>
      <c r="R95" s="5"/>
      <c r="S95" s="5"/>
    </row>
    <row r="96" spans="12:19" x14ac:dyDescent="0.25">
      <c r="L96" s="5"/>
      <c r="N96" s="5"/>
      <c r="O96" s="5"/>
      <c r="P96" s="5"/>
      <c r="Q96" s="5"/>
      <c r="R96" s="5"/>
      <c r="S96" s="5"/>
    </row>
    <row r="97" spans="12:17" x14ac:dyDescent="0.25">
      <c r="L97" s="5"/>
      <c r="N97" s="5"/>
      <c r="O97" s="5"/>
      <c r="P97" s="5"/>
      <c r="Q97" s="5"/>
    </row>
    <row r="98" spans="12:17" x14ac:dyDescent="0.25">
      <c r="P98" s="5"/>
      <c r="Q98" s="5"/>
    </row>
    <row r="99" spans="12:17" x14ac:dyDescent="0.25">
      <c r="L99" s="5"/>
      <c r="N99" s="5"/>
      <c r="O99" s="5"/>
      <c r="P99" s="5"/>
      <c r="Q99" s="5"/>
    </row>
    <row r="100" spans="12:17" x14ac:dyDescent="0.25">
      <c r="L100" s="5"/>
      <c r="N100" s="5"/>
      <c r="O100" s="5"/>
      <c r="Q100" s="5"/>
    </row>
    <row r="101" spans="12:17" x14ac:dyDescent="0.25">
      <c r="L101" s="5"/>
      <c r="N101" s="5"/>
      <c r="O101" s="5"/>
      <c r="Q101" s="5"/>
    </row>
    <row r="102" spans="12:17" x14ac:dyDescent="0.25">
      <c r="L102" s="5"/>
      <c r="N102" s="5"/>
      <c r="O102" s="5"/>
      <c r="Q102" s="5"/>
    </row>
    <row r="103" spans="12:17" x14ac:dyDescent="0.25">
      <c r="L103" s="5"/>
      <c r="N103" s="5"/>
      <c r="O103" s="5"/>
      <c r="Q103" s="5"/>
    </row>
    <row r="104" spans="12:17" x14ac:dyDescent="0.25">
      <c r="L104" s="5"/>
      <c r="N104" s="5"/>
      <c r="O104" s="5"/>
      <c r="Q104" s="5"/>
    </row>
    <row r="105" spans="12:17" x14ac:dyDescent="0.25">
      <c r="L105" s="5"/>
      <c r="N105" s="5"/>
      <c r="O105" s="5"/>
      <c r="Q105" s="5"/>
    </row>
    <row r="106" spans="12:17" x14ac:dyDescent="0.25">
      <c r="L106" s="5"/>
      <c r="N106" s="5"/>
      <c r="O106" s="5"/>
      <c r="Q106" s="5"/>
    </row>
    <row r="107" spans="12:17" x14ac:dyDescent="0.25">
      <c r="L107" s="5"/>
      <c r="N107" s="5"/>
      <c r="O107" s="5"/>
      <c r="Q107" s="5"/>
    </row>
    <row r="108" spans="12:17" x14ac:dyDescent="0.25">
      <c r="L108" s="5"/>
      <c r="M108" s="5"/>
      <c r="P108" s="5"/>
    </row>
    <row r="109" spans="12:17" x14ac:dyDescent="0.25">
      <c r="L109" s="5"/>
      <c r="M109" s="5"/>
      <c r="N109" s="5"/>
      <c r="O109" s="5"/>
      <c r="P109" s="5"/>
    </row>
    <row r="110" spans="12:17" x14ac:dyDescent="0.25">
      <c r="L110" s="5"/>
      <c r="M110" s="5"/>
      <c r="N110" s="5"/>
      <c r="O110" s="5"/>
      <c r="P110" s="5"/>
    </row>
    <row r="111" spans="12:17" x14ac:dyDescent="0.25">
      <c r="L111" s="5"/>
      <c r="M111" s="5"/>
      <c r="N111" s="5"/>
      <c r="O111" s="5"/>
      <c r="P111" s="5"/>
    </row>
    <row r="112" spans="12:17" x14ac:dyDescent="0.25">
      <c r="L112" s="5"/>
      <c r="M112" s="5"/>
      <c r="N112" s="5"/>
      <c r="O112" s="5"/>
      <c r="P112" s="5"/>
    </row>
    <row r="113" spans="12:16" x14ac:dyDescent="0.25">
      <c r="L113" s="5"/>
      <c r="M113" s="5"/>
      <c r="N113" s="5"/>
      <c r="O113" s="5"/>
      <c r="P113" s="5"/>
    </row>
    <row r="114" spans="12:16" x14ac:dyDescent="0.25">
      <c r="L114" s="5"/>
      <c r="M114" s="5"/>
      <c r="N114" s="5"/>
      <c r="O114" s="5"/>
      <c r="P114" s="5"/>
    </row>
    <row r="115" spans="12:16" x14ac:dyDescent="0.25">
      <c r="L115" s="5"/>
      <c r="M115" s="5"/>
      <c r="N115" s="5"/>
      <c r="O115" s="5"/>
      <c r="P115" s="5"/>
    </row>
    <row r="116" spans="12:16" x14ac:dyDescent="0.25">
      <c r="L116" s="5"/>
      <c r="M116" s="5"/>
      <c r="N116" s="5"/>
      <c r="O116" s="5"/>
      <c r="P116" s="5"/>
    </row>
    <row r="117" spans="12:16" x14ac:dyDescent="0.25">
      <c r="L117" s="5"/>
      <c r="M117" s="5"/>
      <c r="N117" s="5"/>
      <c r="O117" s="5"/>
      <c r="P117" s="5"/>
    </row>
    <row r="118" spans="12:16" x14ac:dyDescent="0.25">
      <c r="L118" s="5"/>
      <c r="M118" s="5"/>
      <c r="N118" s="5"/>
      <c r="O118" s="5"/>
      <c r="P118" s="5"/>
    </row>
    <row r="119" spans="12:16" x14ac:dyDescent="0.25">
      <c r="L119" s="5"/>
      <c r="M119" s="5"/>
      <c r="N119" s="5"/>
      <c r="O119" s="5"/>
      <c r="P119" s="5"/>
    </row>
    <row r="120" spans="12:16" x14ac:dyDescent="0.25">
      <c r="L120" s="5"/>
      <c r="M120" s="5"/>
      <c r="N120" s="5"/>
      <c r="O120" s="5"/>
      <c r="P120" s="5"/>
    </row>
    <row r="121" spans="12:16" x14ac:dyDescent="0.25">
      <c r="L121" s="5"/>
      <c r="M121" s="5"/>
      <c r="N121" s="5"/>
      <c r="O121" s="5"/>
      <c r="P121" s="5"/>
    </row>
    <row r="122" spans="12:16" x14ac:dyDescent="0.25">
      <c r="L122" s="5"/>
      <c r="M122" s="5"/>
      <c r="N122" s="5"/>
      <c r="O122" s="5"/>
      <c r="P122" s="5"/>
    </row>
    <row r="123" spans="12:16" x14ac:dyDescent="0.25">
      <c r="L123" s="5"/>
      <c r="M123" s="5"/>
      <c r="N123" s="5"/>
      <c r="O123" s="5"/>
      <c r="P123" s="5"/>
    </row>
    <row r="124" spans="12:16" x14ac:dyDescent="0.25">
      <c r="L124" s="5"/>
      <c r="M124" s="5"/>
      <c r="N124" s="5"/>
      <c r="O124" s="5"/>
      <c r="P124" s="5"/>
    </row>
    <row r="125" spans="12:16" x14ac:dyDescent="0.25">
      <c r="L125" s="5"/>
      <c r="M125" s="5"/>
      <c r="N125" s="5"/>
      <c r="O125" s="5"/>
      <c r="P125" s="5"/>
    </row>
    <row r="126" spans="12:16" x14ac:dyDescent="0.25">
      <c r="L126" s="5"/>
      <c r="M126" s="5"/>
      <c r="N126" s="5"/>
      <c r="O126" s="5"/>
      <c r="P126" s="5"/>
    </row>
    <row r="127" spans="12:16" x14ac:dyDescent="0.25">
      <c r="L127" s="5"/>
      <c r="M127" s="5"/>
      <c r="N127" s="5"/>
      <c r="O127" s="5"/>
      <c r="P127" s="5"/>
    </row>
    <row r="128" spans="12:16" x14ac:dyDescent="0.25">
      <c r="L128" s="5"/>
      <c r="M128" s="5"/>
      <c r="N128" s="5"/>
      <c r="O128" s="5"/>
      <c r="P128" s="5"/>
    </row>
    <row r="129" spans="12:16" x14ac:dyDescent="0.25">
      <c r="L129" s="5"/>
      <c r="M129" s="5"/>
      <c r="N129" s="5"/>
      <c r="O129" s="5"/>
      <c r="P129" s="5"/>
    </row>
    <row r="130" spans="12:16" x14ac:dyDescent="0.25">
      <c r="L130" s="5"/>
      <c r="M130" s="5"/>
      <c r="N130" s="5"/>
      <c r="O130" s="5"/>
      <c r="P130" s="5"/>
    </row>
    <row r="131" spans="12:16" x14ac:dyDescent="0.25">
      <c r="L131" s="5"/>
      <c r="M131" s="5"/>
      <c r="N131" s="5"/>
      <c r="O131" s="5"/>
      <c r="P131" s="5"/>
    </row>
    <row r="132" spans="12:16" x14ac:dyDescent="0.25">
      <c r="L132" s="5"/>
      <c r="M132" s="5"/>
      <c r="N132" s="5"/>
      <c r="O132" s="5"/>
      <c r="P132" s="5"/>
    </row>
    <row r="133" spans="12:16" x14ac:dyDescent="0.25">
      <c r="L133" s="5"/>
      <c r="M133" s="5"/>
      <c r="N133" s="5"/>
      <c r="O133" s="5"/>
      <c r="P133" s="5"/>
    </row>
    <row r="134" spans="12:16" x14ac:dyDescent="0.25">
      <c r="L134" s="5"/>
      <c r="M134" s="5"/>
      <c r="N134" s="5"/>
      <c r="O134" s="5"/>
      <c r="P134" s="5"/>
    </row>
    <row r="135" spans="12:16" x14ac:dyDescent="0.25">
      <c r="L135" s="5"/>
      <c r="M135" s="5"/>
      <c r="N135" s="5"/>
      <c r="O135" s="5"/>
      <c r="P135" s="5"/>
    </row>
    <row r="136" spans="12:16" x14ac:dyDescent="0.25">
      <c r="L136" s="5"/>
      <c r="M136" s="5"/>
      <c r="N136" s="5"/>
      <c r="O136" s="5"/>
      <c r="P136" s="5"/>
    </row>
    <row r="137" spans="12:16" x14ac:dyDescent="0.25">
      <c r="L137" s="5"/>
      <c r="M137" s="5"/>
      <c r="N137" s="5"/>
      <c r="O137" s="5"/>
      <c r="P137" s="5"/>
    </row>
    <row r="138" spans="12:16" x14ac:dyDescent="0.25">
      <c r="L138" s="5"/>
      <c r="M138" s="5"/>
      <c r="N138" s="5"/>
      <c r="O138" s="5"/>
      <c r="P138" s="5"/>
    </row>
    <row r="139" spans="12:16" x14ac:dyDescent="0.25">
      <c r="L139" s="5"/>
      <c r="M139" s="5"/>
      <c r="N139" s="5"/>
      <c r="O139" s="5"/>
      <c r="P139" s="5"/>
    </row>
    <row r="140" spans="12:16" x14ac:dyDescent="0.25">
      <c r="L140" s="5"/>
      <c r="M140" s="5"/>
      <c r="N140" s="5"/>
      <c r="O140" s="5"/>
      <c r="P140" s="5"/>
    </row>
    <row r="141" spans="12:16" x14ac:dyDescent="0.25">
      <c r="L141" s="5"/>
      <c r="M141" s="5"/>
      <c r="N141" s="5"/>
      <c r="O141" s="5"/>
      <c r="P141" s="5"/>
    </row>
    <row r="142" spans="12:16" x14ac:dyDescent="0.25">
      <c r="L142" s="5"/>
      <c r="M142" s="5"/>
      <c r="N142" s="5"/>
      <c r="O142" s="5"/>
      <c r="P142" s="5"/>
    </row>
    <row r="143" spans="12:16" x14ac:dyDescent="0.25">
      <c r="L143" s="5"/>
      <c r="M143" s="5"/>
      <c r="N143" s="5"/>
      <c r="O143" s="5"/>
      <c r="P143" s="5"/>
    </row>
    <row r="144" spans="12:16" x14ac:dyDescent="0.25">
      <c r="L144" s="5"/>
      <c r="M144" s="5"/>
      <c r="N144" s="5"/>
      <c r="O144" s="5"/>
      <c r="P144" s="5"/>
    </row>
    <row r="145" spans="12:16" x14ac:dyDescent="0.25">
      <c r="L145" s="5"/>
      <c r="M145" s="5"/>
      <c r="N145" s="5"/>
      <c r="O145" s="5"/>
      <c r="P145" s="5"/>
    </row>
    <row r="146" spans="12:16" x14ac:dyDescent="0.25">
      <c r="L146" s="5"/>
      <c r="M146" s="5"/>
      <c r="N146" s="5"/>
      <c r="O146" s="5"/>
      <c r="P146" s="5"/>
    </row>
  </sheetData>
  <mergeCells count="27">
    <mergeCell ref="G18:J18"/>
    <mergeCell ref="B27:B28"/>
    <mergeCell ref="C27:C28"/>
    <mergeCell ref="D27:D28"/>
    <mergeCell ref="E27:E28"/>
    <mergeCell ref="F27:F28"/>
    <mergeCell ref="G27:J27"/>
    <mergeCell ref="B18:B19"/>
    <mergeCell ref="C18:C19"/>
    <mergeCell ref="D18:D19"/>
    <mergeCell ref="E18:E19"/>
    <mergeCell ref="F18:F19"/>
    <mergeCell ref="E37:E38"/>
    <mergeCell ref="F37:F38"/>
    <mergeCell ref="B67:B68"/>
    <mergeCell ref="C67:F67"/>
    <mergeCell ref="G67:J67"/>
    <mergeCell ref="B47:B48"/>
    <mergeCell ref="C47:F47"/>
    <mergeCell ref="G47:J47"/>
    <mergeCell ref="B57:B58"/>
    <mergeCell ref="C57:F57"/>
    <mergeCell ref="G57:J57"/>
    <mergeCell ref="G37:J37"/>
    <mergeCell ref="B37:B38"/>
    <mergeCell ref="C37:C38"/>
    <mergeCell ref="D37:D38"/>
  </mergeCells>
  <pageMargins left="0.7" right="0.7" top="0.75" bottom="0.75" header="0.3" footer="0.3"/>
  <pageSetup scale="61" fitToHeight="0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>
    <pageSetUpPr fitToPage="1"/>
  </sheetPr>
  <dimension ref="B1:S146"/>
  <sheetViews>
    <sheetView topLeftCell="A12" zoomScale="115" zoomScaleNormal="115" workbookViewId="0">
      <selection activeCell="R68" sqref="R68"/>
    </sheetView>
  </sheetViews>
  <sheetFormatPr baseColWidth="10" defaultColWidth="11.5703125" defaultRowHeight="15" x14ac:dyDescent="0.25"/>
  <cols>
    <col min="1" max="1" width="9.42578125" style="238" customWidth="1"/>
    <col min="2" max="11" width="17.28515625" style="238" customWidth="1"/>
    <col min="12" max="16" width="18.7109375" style="238" customWidth="1"/>
    <col min="17" max="22" width="18.42578125" style="238" customWidth="1"/>
    <col min="23" max="16384" width="11.5703125" style="238"/>
  </cols>
  <sheetData>
    <row r="1" spans="2:18" x14ac:dyDescent="0.25">
      <c r="B1" s="13" t="s">
        <v>486</v>
      </c>
      <c r="C1"/>
    </row>
    <row r="2" spans="2:18" x14ac:dyDescent="0.25">
      <c r="B2" t="s">
        <v>462</v>
      </c>
    </row>
    <row r="3" spans="2:18" x14ac:dyDescent="0.25">
      <c r="B3"/>
    </row>
    <row r="4" spans="2:18" x14ac:dyDescent="0.25">
      <c r="B4" s="13" t="s">
        <v>463</v>
      </c>
      <c r="C4" s="246">
        <f ca="1">MCI!C70</f>
        <v>35639.720379121776</v>
      </c>
      <c r="D4" t="str">
        <f>MCI!E70</f>
        <v>Poliza de accidente promedio aseguradora</v>
      </c>
      <c r="E4"/>
      <c r="F4"/>
      <c r="G4"/>
      <c r="H4"/>
    </row>
    <row r="5" spans="2:18" x14ac:dyDescent="0.25">
      <c r="B5"/>
    </row>
    <row r="6" spans="2:18" x14ac:dyDescent="0.25">
      <c r="B6" s="178" t="s">
        <v>141</v>
      </c>
      <c r="C6" s="229">
        <v>1</v>
      </c>
      <c r="D6" s="229">
        <v>2</v>
      </c>
      <c r="E6" s="229">
        <v>3</v>
      </c>
      <c r="F6" s="229">
        <v>4</v>
      </c>
      <c r="G6" s="229">
        <v>5</v>
      </c>
      <c r="H6" s="229">
        <v>6</v>
      </c>
      <c r="I6" s="229">
        <v>7</v>
      </c>
    </row>
    <row r="7" spans="2:18" x14ac:dyDescent="0.25">
      <c r="B7" s="178" t="s">
        <v>391</v>
      </c>
      <c r="C7" s="143">
        <f>MCI!C56</f>
        <v>20554</v>
      </c>
      <c r="D7" s="143">
        <f>MCI!D56</f>
        <v>8833.5</v>
      </c>
      <c r="E7" s="143">
        <f>MCI!E56</f>
        <v>2635.5</v>
      </c>
      <c r="F7" s="143">
        <f>MCI!F56</f>
        <v>5458.5</v>
      </c>
      <c r="G7" s="143">
        <f>MCI!G56</f>
        <v>3910</v>
      </c>
      <c r="H7" s="143">
        <f>MCI!H56</f>
        <v>2932</v>
      </c>
      <c r="I7" s="143">
        <f>MCI!I56</f>
        <v>22745</v>
      </c>
      <c r="J7" s="144"/>
      <c r="K7" s="144"/>
    </row>
    <row r="8" spans="2:18" x14ac:dyDescent="0.25">
      <c r="B8" s="178" t="s">
        <v>110</v>
      </c>
      <c r="C8" s="143" t="str">
        <f>MCI!C24</f>
        <v>Lomerío</v>
      </c>
      <c r="D8" s="143" t="str">
        <f>MCI!D24</f>
        <v>Montañoso</v>
      </c>
      <c r="E8" s="143" t="str">
        <f>MCI!E24</f>
        <v>Montañoso</v>
      </c>
      <c r="F8" s="143" t="str">
        <f>MCI!F24</f>
        <v>Montañoso</v>
      </c>
      <c r="G8" s="143" t="str">
        <f>MCI!G24</f>
        <v>Lomerío</v>
      </c>
      <c r="H8" s="143" t="str">
        <f>MCI!H24</f>
        <v>Lomerío</v>
      </c>
      <c r="I8" s="143" t="str">
        <f>MCI!I24</f>
        <v>Lomerío</v>
      </c>
      <c r="J8" s="144"/>
      <c r="K8" s="144"/>
    </row>
    <row r="9" spans="2:18" x14ac:dyDescent="0.25">
      <c r="B9" s="178" t="s">
        <v>125</v>
      </c>
      <c r="C9" s="143">
        <f>MCI!C25</f>
        <v>4</v>
      </c>
      <c r="D9" s="143">
        <f>MCI!D25</f>
        <v>6</v>
      </c>
      <c r="E9" s="143">
        <f>MCI!E25</f>
        <v>4</v>
      </c>
      <c r="F9" s="143">
        <f>MCI!F25</f>
        <v>4</v>
      </c>
      <c r="G9" s="143">
        <f>MCI!G25</f>
        <v>8</v>
      </c>
      <c r="H9" s="143">
        <f>MCI!H25</f>
        <v>4</v>
      </c>
      <c r="I9" s="143">
        <f>MCI!I25</f>
        <v>2</v>
      </c>
      <c r="J9" s="144"/>
      <c r="K9" s="144"/>
    </row>
    <row r="10" spans="2:18" x14ac:dyDescent="0.25">
      <c r="B10" s="178" t="s">
        <v>263</v>
      </c>
      <c r="C10" s="182">
        <f>MCI!C23/1000</f>
        <v>45.4</v>
      </c>
      <c r="D10" s="182">
        <f>MCI!D23/1000</f>
        <v>23.3</v>
      </c>
      <c r="E10" s="182">
        <f>MCI!E23/1000</f>
        <v>23.3</v>
      </c>
      <c r="F10" s="182">
        <f>MCI!F23/1000</f>
        <v>53.9</v>
      </c>
      <c r="G10" s="182">
        <f>MCI!G23/1000</f>
        <v>83.1</v>
      </c>
      <c r="H10" s="182">
        <f>MCI!H23/1000</f>
        <v>39.1</v>
      </c>
      <c r="I10" s="182">
        <f>MCI!I23/1000</f>
        <v>67.2</v>
      </c>
      <c r="J10" s="144"/>
      <c r="K10" s="144"/>
    </row>
    <row r="11" spans="2:18" x14ac:dyDescent="0.25">
      <c r="B11" s="178" t="str">
        <f>MCI!B26</f>
        <v>Clasificación</v>
      </c>
      <c r="C11" s="182" t="str">
        <f>MCI!C26</f>
        <v>CUOTA 2 Carriles</v>
      </c>
      <c r="D11" s="182" t="str">
        <f>MCI!D26</f>
        <v>"B" 2 Carriles</v>
      </c>
      <c r="E11" s="182" t="str">
        <f>MCI!E26</f>
        <v>CUOTA 2 Carriles</v>
      </c>
      <c r="F11" s="182" t="str">
        <f>MCI!F26</f>
        <v>"C" 2 Carriles</v>
      </c>
      <c r="G11" s="182" t="str">
        <f>MCI!G26</f>
        <v>CUOTA 2 Carriles</v>
      </c>
      <c r="H11" s="182" t="str">
        <f>MCI!H26</f>
        <v>CUOTA 2 Carriles</v>
      </c>
      <c r="I11" s="182" t="str">
        <f>MCI!I26</f>
        <v>CUOTA 4+ Carriles</v>
      </c>
      <c r="J11" s="144"/>
      <c r="K11" s="144"/>
    </row>
    <row r="12" spans="2:18" x14ac:dyDescent="0.25">
      <c r="B12" s="26" t="s">
        <v>76</v>
      </c>
      <c r="C12" s="55" t="s">
        <v>303</v>
      </c>
      <c r="D12" s="149"/>
      <c r="E12" s="149"/>
      <c r="F12" s="161"/>
      <c r="G12" s="161"/>
      <c r="H12" s="158"/>
      <c r="I12" s="158"/>
      <c r="J12" s="158"/>
      <c r="K12" s="161"/>
      <c r="L12" s="161"/>
      <c r="M12" s="161"/>
    </row>
    <row r="13" spans="2:18" x14ac:dyDescent="0.25">
      <c r="B13" s="26"/>
      <c r="C13" s="55"/>
      <c r="D13" s="149"/>
      <c r="E13" s="149"/>
      <c r="F13" s="161"/>
      <c r="G13" s="161"/>
      <c r="H13" s="158"/>
      <c r="I13" s="158"/>
      <c r="J13" s="158"/>
      <c r="K13" s="161"/>
      <c r="L13" s="161"/>
      <c r="M13" s="161"/>
    </row>
    <row r="14" spans="2:18" x14ac:dyDescent="0.25">
      <c r="B14" s="26" t="str">
        <f>MCI!B58</f>
        <v>TDPAef</v>
      </c>
      <c r="C14" s="26">
        <f>MCI!C58</f>
        <v>5458.5</v>
      </c>
      <c r="D14" s="5" t="str">
        <f>MCI!D58</f>
        <v>(TDPA EFECTIVO; ES EL QUE EXCLUSIVAMENTE VA DEL PRIMER AL ULTIMO PUNTO DE LA RUTA PRINCIPAL; NO EL TDPA TOTAL)</v>
      </c>
      <c r="E14" s="149"/>
      <c r="F14" s="161"/>
      <c r="G14" s="161"/>
      <c r="H14" s="158"/>
      <c r="I14" s="158"/>
      <c r="J14" s="158"/>
      <c r="K14" s="161"/>
      <c r="L14" s="161"/>
      <c r="M14" s="161"/>
    </row>
    <row r="15" spans="2:18" x14ac:dyDescent="0.25">
      <c r="B15" s="18"/>
      <c r="H15" s="90"/>
      <c r="I15" s="90"/>
      <c r="J15" s="90"/>
      <c r="K15" s="124"/>
      <c r="L15" s="124"/>
      <c r="M15" s="124"/>
      <c r="N15" s="124"/>
      <c r="O15" s="124"/>
      <c r="P15" s="124"/>
      <c r="Q15" s="124"/>
      <c r="R15" s="124"/>
    </row>
    <row r="16" spans="2:18" x14ac:dyDescent="0.25">
      <c r="B16" s="8" t="s">
        <v>456</v>
      </c>
      <c r="C16" s="88"/>
      <c r="D16" s="88"/>
      <c r="E16" s="88"/>
      <c r="F16" s="88"/>
      <c r="G16" s="88"/>
      <c r="H16" s="88"/>
      <c r="I16" s="88"/>
      <c r="J16" s="88"/>
      <c r="K16" s="124"/>
      <c r="L16" s="124"/>
      <c r="M16" s="124"/>
      <c r="N16" s="124"/>
      <c r="O16" s="124"/>
      <c r="P16" s="124"/>
      <c r="Q16" s="124"/>
      <c r="R16" s="124"/>
    </row>
    <row r="17" spans="2:11" x14ac:dyDescent="0.25">
      <c r="K17" s="124"/>
    </row>
    <row r="18" spans="2:11" x14ac:dyDescent="0.25">
      <c r="B18" s="346" t="s">
        <v>286</v>
      </c>
      <c r="C18" s="343" t="s">
        <v>69</v>
      </c>
      <c r="D18" s="343" t="s">
        <v>237</v>
      </c>
      <c r="E18" s="343" t="s">
        <v>28</v>
      </c>
      <c r="F18" s="343" t="s">
        <v>238</v>
      </c>
      <c r="G18" s="363" t="s">
        <v>2</v>
      </c>
      <c r="H18" s="364"/>
      <c r="I18" s="364"/>
      <c r="J18" s="365"/>
      <c r="K18" s="124"/>
    </row>
    <row r="19" spans="2:11" x14ac:dyDescent="0.25">
      <c r="B19" s="347"/>
      <c r="C19" s="344"/>
      <c r="D19" s="344"/>
      <c r="E19" s="344"/>
      <c r="F19" s="344"/>
      <c r="G19" s="34" t="s">
        <v>69</v>
      </c>
      <c r="H19" s="34" t="s">
        <v>237</v>
      </c>
      <c r="I19" s="34" t="s">
        <v>28</v>
      </c>
      <c r="J19" s="34" t="s">
        <v>238</v>
      </c>
      <c r="K19" s="124"/>
    </row>
    <row r="20" spans="2:11" x14ac:dyDescent="0.25">
      <c r="B20" s="78" t="s">
        <v>239</v>
      </c>
      <c r="C20" s="21">
        <f>MCI!C31</f>
        <v>1</v>
      </c>
      <c r="D20" s="21">
        <f>MCI!D31</f>
        <v>2</v>
      </c>
      <c r="E20" s="21">
        <f>MCI!E31</f>
        <v>4</v>
      </c>
      <c r="F20" s="21" t="str">
        <f>MCI!F31</f>
        <v>N/A</v>
      </c>
      <c r="G20" s="240">
        <f>IF(C20=$C$6,$C$7,IF(C20=$D$6,$D$7,IF(C20=$E$6,$E$7,IF(C20=$F$6,$F$7,IF(C20=$G$6,$G$7,IF(C20=$H$6,$H$7,IF(C20=$I$6,$I$7,0)))))))</f>
        <v>20554</v>
      </c>
      <c r="H20" s="241">
        <f>IF(D20=$C$6,$C$7,IF(D20=$D$6,$D$7,IF(D20=$E$6,$E$7,IF(D20=$F$6,$F$7,IF(D20=$G$6,$G$7,IF(D20=$H$6,$H$7,IF(D20=$I$6,$I$7,0)))))))</f>
        <v>8833.5</v>
      </c>
      <c r="I20" s="241">
        <f>IF(E20=$C$6,$C$7,IF(E20=$D$6,$D$7,IF(E20=$E$6,$E$7,IF(E20=$F$6,$F$7,IF(E20=$G$6,$G$7,IF(E20=$H$6,$H$7,IF(E20=$I$6,$I$7,0)))))))</f>
        <v>5458.5</v>
      </c>
      <c r="J20" s="241">
        <f>IF(F20=$C$6,$C$7,IF(F20=$D$6,$D$7,IF(F20=$E$6,$E$7,IF(F20=$F$6,$F$7,IF(F20=$G$6,$G$7,IF(F20=$H$6,$H$7,IF(F20=$I$6,$I$7,0)))))))</f>
        <v>0</v>
      </c>
      <c r="K20" s="124"/>
    </row>
    <row r="21" spans="2:11" x14ac:dyDescent="0.25">
      <c r="B21" s="78" t="s">
        <v>241</v>
      </c>
      <c r="C21" s="21">
        <f>MCI!C32</f>
        <v>1</v>
      </c>
      <c r="D21" s="21">
        <f>MCI!D32</f>
        <v>2</v>
      </c>
      <c r="E21" s="21">
        <f>MCI!E32</f>
        <v>6</v>
      </c>
      <c r="F21" s="21">
        <f>MCI!F32</f>
        <v>7</v>
      </c>
      <c r="G21" s="135">
        <f t="shared" ref="G21:J25" si="0">IF(C21=$C$6,$C$7,IF(C21=$D$6,$D$7,IF(C21=$E$6,$E$7,IF(C21=$F$6,$F$7,IF(C21=$G$6,$G$7,IF(C21=$H$6,$H$7,IF(C21=$I$6,$I$7,0)))))))</f>
        <v>20554</v>
      </c>
      <c r="H21" s="141">
        <f t="shared" si="0"/>
        <v>8833.5</v>
      </c>
      <c r="I21" s="141">
        <f t="shared" si="0"/>
        <v>2932</v>
      </c>
      <c r="J21" s="141">
        <f t="shared" si="0"/>
        <v>22745</v>
      </c>
      <c r="K21" s="124"/>
    </row>
    <row r="22" spans="2:11" x14ac:dyDescent="0.25">
      <c r="B22" s="78" t="s">
        <v>240</v>
      </c>
      <c r="C22" s="21">
        <f>MCI!C33</f>
        <v>1</v>
      </c>
      <c r="D22" s="21">
        <f>MCI!D33</f>
        <v>3</v>
      </c>
      <c r="E22" s="21">
        <f>MCI!E33</f>
        <v>4</v>
      </c>
      <c r="F22" s="21" t="str">
        <f>MCI!F33</f>
        <v>N/A</v>
      </c>
      <c r="G22" s="135">
        <f t="shared" si="0"/>
        <v>20554</v>
      </c>
      <c r="H22" s="141">
        <f t="shared" si="0"/>
        <v>2635.5</v>
      </c>
      <c r="I22" s="141">
        <f t="shared" si="0"/>
        <v>5458.5</v>
      </c>
      <c r="J22" s="141">
        <f t="shared" si="0"/>
        <v>0</v>
      </c>
      <c r="K22" s="124"/>
    </row>
    <row r="23" spans="2:11" x14ac:dyDescent="0.25">
      <c r="B23" s="78" t="s">
        <v>242</v>
      </c>
      <c r="C23" s="21">
        <f>MCI!C34</f>
        <v>1</v>
      </c>
      <c r="D23" s="21">
        <f>MCI!D34</f>
        <v>3</v>
      </c>
      <c r="E23" s="21">
        <f>MCI!E34</f>
        <v>6</v>
      </c>
      <c r="F23" s="21">
        <f>MCI!F34</f>
        <v>7</v>
      </c>
      <c r="G23" s="135">
        <f t="shared" si="0"/>
        <v>20554</v>
      </c>
      <c r="H23" s="141">
        <f t="shared" si="0"/>
        <v>2635.5</v>
      </c>
      <c r="I23" s="141">
        <f t="shared" si="0"/>
        <v>2932</v>
      </c>
      <c r="J23" s="141">
        <f t="shared" si="0"/>
        <v>22745</v>
      </c>
      <c r="K23" s="124"/>
    </row>
    <row r="24" spans="2:11" x14ac:dyDescent="0.25">
      <c r="B24" s="78" t="s">
        <v>243</v>
      </c>
      <c r="C24" s="21">
        <f>MCI!C35</f>
        <v>5</v>
      </c>
      <c r="D24" s="21">
        <f>MCI!D35</f>
        <v>6</v>
      </c>
      <c r="E24" s="21">
        <f>MCI!E35</f>
        <v>4</v>
      </c>
      <c r="F24" s="21" t="str">
        <f>MCI!F35</f>
        <v>N/A</v>
      </c>
      <c r="G24" s="135">
        <f t="shared" si="0"/>
        <v>3910</v>
      </c>
      <c r="H24" s="141">
        <f t="shared" si="0"/>
        <v>2932</v>
      </c>
      <c r="I24" s="141">
        <f t="shared" si="0"/>
        <v>5458.5</v>
      </c>
      <c r="J24" s="141">
        <f t="shared" si="0"/>
        <v>0</v>
      </c>
      <c r="K24" s="124"/>
    </row>
    <row r="25" spans="2:11" x14ac:dyDescent="0.25">
      <c r="B25" s="78" t="s">
        <v>244</v>
      </c>
      <c r="C25" s="21">
        <f>MCI!C36</f>
        <v>5</v>
      </c>
      <c r="D25" s="21">
        <f>MCI!D36</f>
        <v>7</v>
      </c>
      <c r="E25" s="21" t="str">
        <f>MCI!E36</f>
        <v>N/A</v>
      </c>
      <c r="F25" s="21" t="str">
        <f>MCI!F36</f>
        <v>N/A</v>
      </c>
      <c r="G25" s="135">
        <f t="shared" si="0"/>
        <v>3910</v>
      </c>
      <c r="H25" s="141">
        <f t="shared" si="0"/>
        <v>22745</v>
      </c>
      <c r="I25" s="141">
        <f t="shared" si="0"/>
        <v>0</v>
      </c>
      <c r="J25" s="141">
        <f t="shared" si="0"/>
        <v>0</v>
      </c>
      <c r="K25" s="124"/>
    </row>
    <row r="26" spans="2:11" x14ac:dyDescent="0.25">
      <c r="K26" s="124"/>
    </row>
    <row r="27" spans="2:11" x14ac:dyDescent="0.25">
      <c r="B27" s="346" t="s">
        <v>286</v>
      </c>
      <c r="C27" s="343" t="s">
        <v>69</v>
      </c>
      <c r="D27" s="343" t="s">
        <v>237</v>
      </c>
      <c r="E27" s="343" t="s">
        <v>28</v>
      </c>
      <c r="F27" s="343" t="s">
        <v>238</v>
      </c>
      <c r="G27" s="360" t="s">
        <v>392</v>
      </c>
      <c r="H27" s="361"/>
      <c r="I27" s="361"/>
      <c r="J27" s="362"/>
      <c r="K27" s="124"/>
    </row>
    <row r="28" spans="2:11" x14ac:dyDescent="0.25">
      <c r="B28" s="347"/>
      <c r="C28" s="344"/>
      <c r="D28" s="344"/>
      <c r="E28" s="344"/>
      <c r="F28" s="344"/>
      <c r="G28" s="34" t="s">
        <v>69</v>
      </c>
      <c r="H28" s="34" t="s">
        <v>237</v>
      </c>
      <c r="I28" s="34" t="s">
        <v>28</v>
      </c>
      <c r="J28" s="34" t="s">
        <v>238</v>
      </c>
      <c r="K28" s="124"/>
    </row>
    <row r="29" spans="2:11" x14ac:dyDescent="0.25">
      <c r="B29" s="259" t="str">
        <f>B20</f>
        <v>Ruta principal</v>
      </c>
      <c r="C29" s="258">
        <f>C20</f>
        <v>1</v>
      </c>
      <c r="D29" s="258">
        <f t="shared" ref="D29:F29" si="1">D20</f>
        <v>2</v>
      </c>
      <c r="E29" s="258">
        <f t="shared" si="1"/>
        <v>4</v>
      </c>
      <c r="F29" s="258" t="str">
        <f t="shared" si="1"/>
        <v>N/A</v>
      </c>
      <c r="G29" s="262">
        <v>0</v>
      </c>
      <c r="H29" s="262">
        <v>0</v>
      </c>
      <c r="I29" s="262">
        <v>0</v>
      </c>
      <c r="J29" s="262">
        <v>0</v>
      </c>
      <c r="K29" s="124"/>
    </row>
    <row r="30" spans="2:11" x14ac:dyDescent="0.25">
      <c r="B30" s="78" t="s">
        <v>241</v>
      </c>
      <c r="C30" s="21">
        <f t="shared" ref="C30:F34" si="2">C21</f>
        <v>1</v>
      </c>
      <c r="D30" s="21">
        <f t="shared" si="2"/>
        <v>2</v>
      </c>
      <c r="E30" s="21">
        <f t="shared" si="2"/>
        <v>6</v>
      </c>
      <c r="F30" s="21">
        <f t="shared" si="2"/>
        <v>7</v>
      </c>
      <c r="G30" s="239">
        <f t="shared" ref="G30:J34" si="3">IF(C21=$C$20,0,IF(C21=$D$20,0,IF(C21=$E$20,0,IF(C21=$F$20,0,$C$14))))</f>
        <v>0</v>
      </c>
      <c r="H30" s="239">
        <f t="shared" si="3"/>
        <v>0</v>
      </c>
      <c r="I30" s="239">
        <f t="shared" si="3"/>
        <v>5458.5</v>
      </c>
      <c r="J30" s="239">
        <f t="shared" si="3"/>
        <v>5458.5</v>
      </c>
      <c r="K30" s="124"/>
    </row>
    <row r="31" spans="2:11" x14ac:dyDescent="0.25">
      <c r="B31" s="78" t="s">
        <v>240</v>
      </c>
      <c r="C31" s="21">
        <f t="shared" si="2"/>
        <v>1</v>
      </c>
      <c r="D31" s="21">
        <f t="shared" si="2"/>
        <v>3</v>
      </c>
      <c r="E31" s="21">
        <f t="shared" si="2"/>
        <v>4</v>
      </c>
      <c r="F31" s="21" t="str">
        <f t="shared" si="2"/>
        <v>N/A</v>
      </c>
      <c r="G31" s="239">
        <f t="shared" si="3"/>
        <v>0</v>
      </c>
      <c r="H31" s="239">
        <f t="shared" si="3"/>
        <v>5458.5</v>
      </c>
      <c r="I31" s="239">
        <f t="shared" si="3"/>
        <v>0</v>
      </c>
      <c r="J31" s="239">
        <f t="shared" si="3"/>
        <v>0</v>
      </c>
      <c r="K31" s="129"/>
    </row>
    <row r="32" spans="2:11" x14ac:dyDescent="0.25">
      <c r="B32" s="78" t="s">
        <v>242</v>
      </c>
      <c r="C32" s="21">
        <f t="shared" si="2"/>
        <v>1</v>
      </c>
      <c r="D32" s="21">
        <f t="shared" si="2"/>
        <v>3</v>
      </c>
      <c r="E32" s="21">
        <f t="shared" si="2"/>
        <v>6</v>
      </c>
      <c r="F32" s="21">
        <f t="shared" si="2"/>
        <v>7</v>
      </c>
      <c r="G32" s="239">
        <f t="shared" si="3"/>
        <v>0</v>
      </c>
      <c r="H32" s="239">
        <f t="shared" si="3"/>
        <v>5458.5</v>
      </c>
      <c r="I32" s="239">
        <f t="shared" si="3"/>
        <v>5458.5</v>
      </c>
      <c r="J32" s="239">
        <f t="shared" si="3"/>
        <v>5458.5</v>
      </c>
      <c r="K32" s="129"/>
    </row>
    <row r="33" spans="2:15" x14ac:dyDescent="0.25">
      <c r="B33" s="78" t="s">
        <v>243</v>
      </c>
      <c r="C33" s="21">
        <f t="shared" si="2"/>
        <v>5</v>
      </c>
      <c r="D33" s="21">
        <f t="shared" si="2"/>
        <v>6</v>
      </c>
      <c r="E33" s="21">
        <f t="shared" si="2"/>
        <v>4</v>
      </c>
      <c r="F33" s="21" t="str">
        <f t="shared" si="2"/>
        <v>N/A</v>
      </c>
      <c r="G33" s="239">
        <f t="shared" si="3"/>
        <v>5458.5</v>
      </c>
      <c r="H33" s="239">
        <f t="shared" si="3"/>
        <v>5458.5</v>
      </c>
      <c r="I33" s="239">
        <f t="shared" si="3"/>
        <v>0</v>
      </c>
      <c r="J33" s="239">
        <f t="shared" si="3"/>
        <v>0</v>
      </c>
      <c r="K33" s="129"/>
    </row>
    <row r="34" spans="2:15" x14ac:dyDescent="0.25">
      <c r="B34" s="78" t="s">
        <v>244</v>
      </c>
      <c r="C34" s="21">
        <f t="shared" si="2"/>
        <v>5</v>
      </c>
      <c r="D34" s="21">
        <f t="shared" si="2"/>
        <v>7</v>
      </c>
      <c r="E34" s="21" t="str">
        <f t="shared" si="2"/>
        <v>N/A</v>
      </c>
      <c r="F34" s="21" t="str">
        <f t="shared" si="2"/>
        <v>N/A</v>
      </c>
      <c r="G34" s="239">
        <f t="shared" si="3"/>
        <v>5458.5</v>
      </c>
      <c r="H34" s="239">
        <f t="shared" si="3"/>
        <v>5458.5</v>
      </c>
      <c r="I34" s="239">
        <f t="shared" si="3"/>
        <v>0</v>
      </c>
      <c r="J34" s="239">
        <f t="shared" si="3"/>
        <v>0</v>
      </c>
      <c r="K34" s="129"/>
    </row>
    <row r="35" spans="2:15" x14ac:dyDescent="0.25">
      <c r="B35" s="170" t="s">
        <v>76</v>
      </c>
      <c r="C35" s="173" t="s">
        <v>458</v>
      </c>
      <c r="D35" s="44"/>
      <c r="E35" s="44"/>
      <c r="F35" s="44"/>
      <c r="G35" s="129"/>
      <c r="H35" s="129"/>
      <c r="I35" s="129"/>
      <c r="J35" s="129"/>
      <c r="K35" s="129"/>
    </row>
    <row r="36" spans="2:15" x14ac:dyDescent="0.25">
      <c r="K36" s="129"/>
    </row>
    <row r="37" spans="2:15" x14ac:dyDescent="0.25">
      <c r="B37" s="346" t="s">
        <v>286</v>
      </c>
      <c r="C37" s="343" t="s">
        <v>69</v>
      </c>
      <c r="D37" s="343" t="s">
        <v>237</v>
      </c>
      <c r="E37" s="343" t="s">
        <v>28</v>
      </c>
      <c r="F37" s="343" t="s">
        <v>238</v>
      </c>
      <c r="G37" s="360" t="s">
        <v>394</v>
      </c>
      <c r="H37" s="361"/>
      <c r="I37" s="361"/>
      <c r="J37" s="362"/>
      <c r="K37" s="129"/>
    </row>
    <row r="38" spans="2:15" x14ac:dyDescent="0.25">
      <c r="B38" s="347"/>
      <c r="C38" s="344"/>
      <c r="D38" s="344"/>
      <c r="E38" s="344"/>
      <c r="F38" s="344"/>
      <c r="G38" s="34" t="s">
        <v>69</v>
      </c>
      <c r="H38" s="34" t="s">
        <v>237</v>
      </c>
      <c r="I38" s="34" t="s">
        <v>28</v>
      </c>
      <c r="J38" s="34" t="s">
        <v>238</v>
      </c>
      <c r="K38" s="33"/>
    </row>
    <row r="39" spans="2:15" x14ac:dyDescent="0.25">
      <c r="B39" s="259" t="str">
        <f>B29</f>
        <v>Ruta principal</v>
      </c>
      <c r="C39" s="258">
        <f>C29</f>
        <v>1</v>
      </c>
      <c r="D39" s="258">
        <f t="shared" ref="D39:F39" si="4">D29</f>
        <v>2</v>
      </c>
      <c r="E39" s="258">
        <f t="shared" si="4"/>
        <v>4</v>
      </c>
      <c r="F39" s="258" t="str">
        <f t="shared" si="4"/>
        <v>N/A</v>
      </c>
      <c r="G39" s="260">
        <f>G20</f>
        <v>20554</v>
      </c>
      <c r="H39" s="260">
        <f t="shared" ref="H39:J39" si="5">H20</f>
        <v>8833.5</v>
      </c>
      <c r="I39" s="260">
        <f t="shared" si="5"/>
        <v>5458.5</v>
      </c>
      <c r="J39" s="260">
        <f t="shared" si="5"/>
        <v>0</v>
      </c>
      <c r="K39" s="33"/>
    </row>
    <row r="40" spans="2:15" x14ac:dyDescent="0.25">
      <c r="B40" s="78" t="s">
        <v>241</v>
      </c>
      <c r="C40" s="21">
        <f t="shared" ref="C40:F44" si="6">C30</f>
        <v>1</v>
      </c>
      <c r="D40" s="21">
        <f t="shared" si="6"/>
        <v>2</v>
      </c>
      <c r="E40" s="21">
        <f t="shared" si="6"/>
        <v>6</v>
      </c>
      <c r="F40" s="21">
        <f t="shared" si="6"/>
        <v>7</v>
      </c>
      <c r="G40" s="242">
        <f t="shared" ref="G40:J44" si="7">G21+G30</f>
        <v>20554</v>
      </c>
      <c r="H40" s="242">
        <f t="shared" si="7"/>
        <v>8833.5</v>
      </c>
      <c r="I40" s="242">
        <f t="shared" si="7"/>
        <v>8390.5</v>
      </c>
      <c r="J40" s="242">
        <f t="shared" si="7"/>
        <v>28203.5</v>
      </c>
      <c r="K40" s="232"/>
    </row>
    <row r="41" spans="2:15" x14ac:dyDescent="0.25">
      <c r="B41" s="78" t="s">
        <v>240</v>
      </c>
      <c r="C41" s="21">
        <f t="shared" si="6"/>
        <v>1</v>
      </c>
      <c r="D41" s="21">
        <f t="shared" si="6"/>
        <v>3</v>
      </c>
      <c r="E41" s="21">
        <f t="shared" si="6"/>
        <v>4</v>
      </c>
      <c r="F41" s="21" t="str">
        <f t="shared" si="6"/>
        <v>N/A</v>
      </c>
      <c r="G41" s="242">
        <f t="shared" si="7"/>
        <v>20554</v>
      </c>
      <c r="H41" s="242">
        <f t="shared" si="7"/>
        <v>8094</v>
      </c>
      <c r="I41" s="242">
        <f t="shared" si="7"/>
        <v>5458.5</v>
      </c>
      <c r="J41" s="242">
        <f t="shared" si="7"/>
        <v>0</v>
      </c>
      <c r="K41" s="232"/>
      <c r="L41" s="147"/>
      <c r="M41" s="28"/>
      <c r="N41" s="28"/>
      <c r="O41" s="28"/>
    </row>
    <row r="42" spans="2:15" x14ac:dyDescent="0.25">
      <c r="B42" s="78" t="s">
        <v>242</v>
      </c>
      <c r="C42" s="21">
        <f t="shared" si="6"/>
        <v>1</v>
      </c>
      <c r="D42" s="21">
        <f t="shared" si="6"/>
        <v>3</v>
      </c>
      <c r="E42" s="21">
        <f t="shared" si="6"/>
        <v>6</v>
      </c>
      <c r="F42" s="21">
        <f t="shared" si="6"/>
        <v>7</v>
      </c>
      <c r="G42" s="242">
        <f t="shared" si="7"/>
        <v>20554</v>
      </c>
      <c r="H42" s="242">
        <f t="shared" si="7"/>
        <v>8094</v>
      </c>
      <c r="I42" s="242">
        <f t="shared" si="7"/>
        <v>8390.5</v>
      </c>
      <c r="J42" s="242">
        <f t="shared" si="7"/>
        <v>28203.5</v>
      </c>
      <c r="K42" s="232"/>
      <c r="L42" s="147"/>
      <c r="M42" s="28"/>
      <c r="N42" s="28"/>
      <c r="O42" s="28"/>
    </row>
    <row r="43" spans="2:15" x14ac:dyDescent="0.25">
      <c r="B43" s="78" t="s">
        <v>243</v>
      </c>
      <c r="C43" s="21">
        <f t="shared" si="6"/>
        <v>5</v>
      </c>
      <c r="D43" s="21">
        <f t="shared" si="6"/>
        <v>6</v>
      </c>
      <c r="E43" s="21">
        <f t="shared" si="6"/>
        <v>4</v>
      </c>
      <c r="F43" s="21" t="str">
        <f t="shared" si="6"/>
        <v>N/A</v>
      </c>
      <c r="G43" s="242">
        <f t="shared" si="7"/>
        <v>9368.5</v>
      </c>
      <c r="H43" s="242">
        <f t="shared" si="7"/>
        <v>8390.5</v>
      </c>
      <c r="I43" s="242">
        <f t="shared" si="7"/>
        <v>5458.5</v>
      </c>
      <c r="J43" s="242">
        <f t="shared" si="7"/>
        <v>0</v>
      </c>
      <c r="K43" s="232"/>
      <c r="L43" s="147"/>
      <c r="M43" s="28"/>
      <c r="N43" s="28"/>
      <c r="O43" s="28"/>
    </row>
    <row r="44" spans="2:15" x14ac:dyDescent="0.25">
      <c r="B44" s="78" t="s">
        <v>244</v>
      </c>
      <c r="C44" s="21">
        <f t="shared" si="6"/>
        <v>5</v>
      </c>
      <c r="D44" s="21">
        <f t="shared" si="6"/>
        <v>7</v>
      </c>
      <c r="E44" s="21" t="str">
        <f t="shared" si="6"/>
        <v>N/A</v>
      </c>
      <c r="F44" s="21" t="str">
        <f t="shared" si="6"/>
        <v>N/A</v>
      </c>
      <c r="G44" s="242">
        <f t="shared" si="7"/>
        <v>9368.5</v>
      </c>
      <c r="H44" s="242">
        <f t="shared" si="7"/>
        <v>28203.5</v>
      </c>
      <c r="I44" s="242">
        <f t="shared" si="7"/>
        <v>0</v>
      </c>
      <c r="J44" s="242">
        <f t="shared" si="7"/>
        <v>0</v>
      </c>
      <c r="K44" s="232"/>
      <c r="L44" s="147"/>
      <c r="M44" s="28"/>
      <c r="N44" s="28"/>
      <c r="O44" s="28"/>
    </row>
    <row r="45" spans="2:15" x14ac:dyDescent="0.25">
      <c r="B45" s="26" t="s">
        <v>79</v>
      </c>
      <c r="C45" s="132" t="s">
        <v>393</v>
      </c>
      <c r="D45" s="149"/>
      <c r="E45" s="149"/>
      <c r="F45" s="149"/>
      <c r="G45" s="129"/>
      <c r="H45" s="33"/>
      <c r="I45" s="33"/>
      <c r="J45" s="33"/>
      <c r="K45" s="232"/>
      <c r="L45" s="147"/>
      <c r="M45" s="28"/>
      <c r="N45" s="28"/>
      <c r="O45" s="28"/>
    </row>
    <row r="46" spans="2:15" x14ac:dyDescent="0.25">
      <c r="B46" s="26"/>
      <c r="C46" s="132"/>
      <c r="D46" s="149"/>
      <c r="E46" s="149"/>
      <c r="F46" s="149"/>
      <c r="G46" s="129"/>
      <c r="H46" s="33"/>
      <c r="I46" s="33"/>
      <c r="J46" s="33"/>
      <c r="K46" s="232"/>
      <c r="L46" s="147"/>
      <c r="M46" s="28"/>
      <c r="N46" s="28"/>
      <c r="O46" s="28"/>
    </row>
    <row r="47" spans="2:15" x14ac:dyDescent="0.25">
      <c r="B47" s="346" t="s">
        <v>286</v>
      </c>
      <c r="C47" s="336" t="s">
        <v>444</v>
      </c>
      <c r="D47" s="336"/>
      <c r="E47" s="336"/>
      <c r="F47" s="336"/>
      <c r="G47" s="360" t="s">
        <v>394</v>
      </c>
      <c r="H47" s="361"/>
      <c r="I47" s="361"/>
      <c r="J47" s="362"/>
      <c r="K47" s="243"/>
      <c r="L47" s="147"/>
      <c r="M47" s="28"/>
      <c r="N47" s="28"/>
      <c r="O47" s="28"/>
    </row>
    <row r="48" spans="2:15" x14ac:dyDescent="0.25">
      <c r="B48" s="347"/>
      <c r="C48" s="244" t="s">
        <v>69</v>
      </c>
      <c r="D48" s="244" t="s">
        <v>237</v>
      </c>
      <c r="E48" s="244" t="s">
        <v>28</v>
      </c>
      <c r="F48" s="244" t="s">
        <v>238</v>
      </c>
      <c r="G48" s="34" t="s">
        <v>69</v>
      </c>
      <c r="H48" s="34" t="s">
        <v>237</v>
      </c>
      <c r="I48" s="34" t="s">
        <v>28</v>
      </c>
      <c r="J48" s="34" t="s">
        <v>238</v>
      </c>
    </row>
    <row r="49" spans="2:17" x14ac:dyDescent="0.25">
      <c r="B49" s="259" t="str">
        <f>B39</f>
        <v>Ruta principal</v>
      </c>
      <c r="C49" s="234" t="str">
        <f t="shared" ref="C49:C54" si="8">IF(C39=$C$6,$C$11,IF(C39=$D$6,$D$11,IF(C39=$E$6,$E$11,IF(C39=$F$6,$F$11,IF(C39=$G$6,$G$11,IF(C39=$H$6,$H$11,IF(C39=$I$6,$I$11,0)))))))</f>
        <v>CUOTA 2 Carriles</v>
      </c>
      <c r="D49" s="234" t="str">
        <f t="shared" ref="D49:F49" si="9">IF(D39=$C$6,$C$11,IF(D39=$D$6,$D$11,IF(D39=$E$6,$E$11,IF(D39=$F$6,$F$11,IF(D39=$G$6,$G$11,IF(D39=$H$6,$H$11,IF(D39=$I$6,$I$11,0)))))))</f>
        <v>"B" 2 Carriles</v>
      </c>
      <c r="E49" s="234" t="str">
        <f t="shared" si="9"/>
        <v>"C" 2 Carriles</v>
      </c>
      <c r="F49" s="234">
        <f t="shared" si="9"/>
        <v>0</v>
      </c>
      <c r="G49" s="261">
        <f>G39/1000</f>
        <v>20.553999999999998</v>
      </c>
      <c r="H49" s="261">
        <f t="shared" ref="H49:J50" si="10">H39/1000</f>
        <v>8.8335000000000008</v>
      </c>
      <c r="I49" s="261">
        <f t="shared" si="10"/>
        <v>5.4584999999999999</v>
      </c>
      <c r="J49" s="261">
        <f t="shared" si="10"/>
        <v>0</v>
      </c>
    </row>
    <row r="50" spans="2:17" x14ac:dyDescent="0.25">
      <c r="B50" s="78" t="s">
        <v>241</v>
      </c>
      <c r="C50" s="234" t="str">
        <f t="shared" si="8"/>
        <v>CUOTA 2 Carriles</v>
      </c>
      <c r="D50" s="234" t="str">
        <f t="shared" ref="D50:F54" si="11">IF(D40=$C$6,$C$11,IF(D40=$D$6,$D$11,IF(D40=$E$6,$E$11,IF(D40=$F$6,$F$11,IF(D40=$G$6,$G$11,IF(D40=$H$6,$H$11,IF(D40=$I$6,$I$11,0)))))))</f>
        <v>"B" 2 Carriles</v>
      </c>
      <c r="E50" s="234" t="str">
        <f t="shared" si="11"/>
        <v>CUOTA 2 Carriles</v>
      </c>
      <c r="F50" s="234" t="str">
        <f t="shared" si="11"/>
        <v>CUOTA 4+ Carriles</v>
      </c>
      <c r="G50" s="242">
        <f>G40/1000</f>
        <v>20.553999999999998</v>
      </c>
      <c r="H50" s="242">
        <f t="shared" si="10"/>
        <v>8.8335000000000008</v>
      </c>
      <c r="I50" s="242">
        <f t="shared" si="10"/>
        <v>8.3904999999999994</v>
      </c>
      <c r="J50" s="242">
        <f t="shared" si="10"/>
        <v>28.203499999999998</v>
      </c>
    </row>
    <row r="51" spans="2:17" x14ac:dyDescent="0.25">
      <c r="B51" s="78" t="s">
        <v>240</v>
      </c>
      <c r="C51" s="234" t="str">
        <f t="shared" si="8"/>
        <v>CUOTA 2 Carriles</v>
      </c>
      <c r="D51" s="234" t="str">
        <f t="shared" si="11"/>
        <v>CUOTA 2 Carriles</v>
      </c>
      <c r="E51" s="234" t="str">
        <f t="shared" si="11"/>
        <v>"C" 2 Carriles</v>
      </c>
      <c r="F51" s="234">
        <f t="shared" si="11"/>
        <v>0</v>
      </c>
      <c r="G51" s="242">
        <f t="shared" ref="G51:J54" si="12">G41/1000</f>
        <v>20.553999999999998</v>
      </c>
      <c r="H51" s="242">
        <f t="shared" si="12"/>
        <v>8.0939999999999994</v>
      </c>
      <c r="I51" s="242">
        <f t="shared" si="12"/>
        <v>5.4584999999999999</v>
      </c>
      <c r="J51" s="242">
        <f t="shared" si="12"/>
        <v>0</v>
      </c>
    </row>
    <row r="52" spans="2:17" x14ac:dyDescent="0.25">
      <c r="B52" s="78" t="s">
        <v>242</v>
      </c>
      <c r="C52" s="234" t="str">
        <f t="shared" si="8"/>
        <v>CUOTA 2 Carriles</v>
      </c>
      <c r="D52" s="234" t="str">
        <f t="shared" si="11"/>
        <v>CUOTA 2 Carriles</v>
      </c>
      <c r="E52" s="234" t="str">
        <f t="shared" si="11"/>
        <v>CUOTA 2 Carriles</v>
      </c>
      <c r="F52" s="234" t="str">
        <f t="shared" si="11"/>
        <v>CUOTA 4+ Carriles</v>
      </c>
      <c r="G52" s="242">
        <f t="shared" si="12"/>
        <v>20.553999999999998</v>
      </c>
      <c r="H52" s="242">
        <f t="shared" si="12"/>
        <v>8.0939999999999994</v>
      </c>
      <c r="I52" s="242">
        <f t="shared" si="12"/>
        <v>8.3904999999999994</v>
      </c>
      <c r="J52" s="242">
        <f t="shared" si="12"/>
        <v>28.203499999999998</v>
      </c>
    </row>
    <row r="53" spans="2:17" x14ac:dyDescent="0.25">
      <c r="B53" s="78" t="s">
        <v>243</v>
      </c>
      <c r="C53" s="234" t="str">
        <f t="shared" si="8"/>
        <v>CUOTA 2 Carriles</v>
      </c>
      <c r="D53" s="234" t="str">
        <f t="shared" si="11"/>
        <v>CUOTA 2 Carriles</v>
      </c>
      <c r="E53" s="234" t="str">
        <f t="shared" si="11"/>
        <v>"C" 2 Carriles</v>
      </c>
      <c r="F53" s="234">
        <f t="shared" si="11"/>
        <v>0</v>
      </c>
      <c r="G53" s="242">
        <f t="shared" si="12"/>
        <v>9.3684999999999992</v>
      </c>
      <c r="H53" s="242">
        <f t="shared" si="12"/>
        <v>8.3904999999999994</v>
      </c>
      <c r="I53" s="242">
        <f t="shared" si="12"/>
        <v>5.4584999999999999</v>
      </c>
      <c r="J53" s="242">
        <f t="shared" si="12"/>
        <v>0</v>
      </c>
    </row>
    <row r="54" spans="2:17" x14ac:dyDescent="0.25">
      <c r="B54" s="78" t="s">
        <v>244</v>
      </c>
      <c r="C54" s="234" t="str">
        <f t="shared" si="8"/>
        <v>CUOTA 2 Carriles</v>
      </c>
      <c r="D54" s="234" t="str">
        <f t="shared" si="11"/>
        <v>CUOTA 4+ Carriles</v>
      </c>
      <c r="E54" s="234">
        <f t="shared" si="11"/>
        <v>0</v>
      </c>
      <c r="F54" s="234">
        <f t="shared" si="11"/>
        <v>0</v>
      </c>
      <c r="G54" s="242">
        <f t="shared" si="12"/>
        <v>9.3684999999999992</v>
      </c>
      <c r="H54" s="242">
        <f t="shared" si="12"/>
        <v>28.203499999999998</v>
      </c>
      <c r="I54" s="242">
        <f t="shared" si="12"/>
        <v>0</v>
      </c>
      <c r="J54" s="242">
        <f t="shared" si="12"/>
        <v>0</v>
      </c>
    </row>
    <row r="55" spans="2:17" x14ac:dyDescent="0.25">
      <c r="B55" s="26" t="s">
        <v>79</v>
      </c>
      <c r="C55" s="132" t="s">
        <v>393</v>
      </c>
    </row>
    <row r="56" spans="2:17" x14ac:dyDescent="0.25">
      <c r="B56" s="26"/>
      <c r="C56" s="132"/>
      <c r="L56" s="257" t="s">
        <v>348</v>
      </c>
      <c r="M56" s="8" t="s">
        <v>408</v>
      </c>
      <c r="N56" s="5"/>
      <c r="O56" s="238" t="s">
        <v>69</v>
      </c>
      <c r="P56" s="238" t="s">
        <v>237</v>
      </c>
      <c r="Q56" s="238" t="s">
        <v>28</v>
      </c>
    </row>
    <row r="57" spans="2:17" s="4" customFormat="1" x14ac:dyDescent="0.25">
      <c r="B57" s="346" t="s">
        <v>286</v>
      </c>
      <c r="C57" s="336" t="s">
        <v>444</v>
      </c>
      <c r="D57" s="336"/>
      <c r="E57" s="336"/>
      <c r="F57" s="336"/>
      <c r="G57" s="360" t="s">
        <v>473</v>
      </c>
      <c r="H57" s="361"/>
      <c r="I57" s="361"/>
      <c r="J57" s="362"/>
      <c r="L57" s="245" t="str">
        <f>LISTA!C17</f>
        <v>CUOTA 4+ Carriles</v>
      </c>
      <c r="M57" s="5" t="s">
        <v>409</v>
      </c>
      <c r="N57" s="5"/>
      <c r="O57" s="238">
        <v>-1E-4</v>
      </c>
      <c r="P57" s="238">
        <v>8.6699999999999999E-2</v>
      </c>
      <c r="Q57" s="238">
        <v>3.6900000000000002E-2</v>
      </c>
    </row>
    <row r="58" spans="2:17" x14ac:dyDescent="0.25">
      <c r="B58" s="347"/>
      <c r="C58" s="231" t="s">
        <v>69</v>
      </c>
      <c r="D58" s="231" t="s">
        <v>237</v>
      </c>
      <c r="E58" s="231" t="s">
        <v>28</v>
      </c>
      <c r="F58" s="231" t="s">
        <v>238</v>
      </c>
      <c r="G58" s="34" t="s">
        <v>69</v>
      </c>
      <c r="H58" s="34" t="s">
        <v>237</v>
      </c>
      <c r="I58" s="34" t="s">
        <v>28</v>
      </c>
      <c r="J58" s="34" t="s">
        <v>238</v>
      </c>
      <c r="L58" s="245" t="str">
        <f>LISTA!C14</f>
        <v>CUOTA 2 Carriles</v>
      </c>
      <c r="M58" s="5" t="s">
        <v>412</v>
      </c>
      <c r="N58" s="5"/>
      <c r="O58" s="238">
        <v>-9.2999999999999992E-3</v>
      </c>
      <c r="P58" s="238">
        <v>0.18720000000000001</v>
      </c>
      <c r="Q58" s="238">
        <v>-9.9000000000000008E-3</v>
      </c>
    </row>
    <row r="59" spans="2:17" x14ac:dyDescent="0.25">
      <c r="B59" s="259" t="str">
        <f>B49</f>
        <v>Ruta principal</v>
      </c>
      <c r="C59" s="263" t="str">
        <f t="shared" ref="C59:F59" si="13">C49</f>
        <v>CUOTA 2 Carriles</v>
      </c>
      <c r="D59" s="263" t="str">
        <f t="shared" si="13"/>
        <v>"B" 2 Carriles</v>
      </c>
      <c r="E59" s="263" t="str">
        <f t="shared" si="13"/>
        <v>"C" 2 Carriles</v>
      </c>
      <c r="F59" s="263">
        <f t="shared" si="13"/>
        <v>0</v>
      </c>
      <c r="G59" s="261">
        <f t="shared" ref="G59:J64" si="14">IF(C59=0,0,INDEX($O$57:$Q$64,MATCH(C59,$L$57:$L$64,0),1)*G49*G49+INDEX($O$57:$Q$64,MATCH(C59,$L$57:$L$64,0),2)*G49+INDEX($O$57:$Q$64,MATCH(C59,$L$57:$L$64,0),3))</f>
        <v>-9.1133518799999078E-2</v>
      </c>
      <c r="H59" s="261">
        <f t="shared" si="14"/>
        <v>0.88491643882500015</v>
      </c>
      <c r="I59" s="261">
        <f t="shared" si="14"/>
        <v>0.59245301660000005</v>
      </c>
      <c r="J59" s="261">
        <f t="shared" si="14"/>
        <v>0</v>
      </c>
      <c r="L59" s="245" t="str">
        <f>LISTA!C15</f>
        <v>"A" 4+ Carriles</v>
      </c>
      <c r="M59" s="5" t="s">
        <v>415</v>
      </c>
      <c r="N59" s="5"/>
      <c r="O59" s="238">
        <v>-5.9999999999999995E-4</v>
      </c>
      <c r="P59" s="238">
        <v>8.1299999999999997E-2</v>
      </c>
      <c r="Q59" s="238">
        <v>0.21859999999999999</v>
      </c>
    </row>
    <row r="60" spans="2:17" x14ac:dyDescent="0.25">
      <c r="B60" s="78" t="s">
        <v>241</v>
      </c>
      <c r="C60" s="234" t="str">
        <f t="shared" ref="C60:F64" si="15">C50</f>
        <v>CUOTA 2 Carriles</v>
      </c>
      <c r="D60" s="234" t="str">
        <f t="shared" si="15"/>
        <v>"B" 2 Carriles</v>
      </c>
      <c r="E60" s="234" t="str">
        <f t="shared" si="15"/>
        <v>CUOTA 2 Carriles</v>
      </c>
      <c r="F60" s="234" t="str">
        <f t="shared" si="15"/>
        <v>CUOTA 4+ Carriles</v>
      </c>
      <c r="G60" s="242">
        <f t="shared" si="14"/>
        <v>-9.1133518799999078E-2</v>
      </c>
      <c r="H60" s="242">
        <f t="shared" si="14"/>
        <v>0.88491643882500015</v>
      </c>
      <c r="I60" s="242">
        <f t="shared" si="14"/>
        <v>0.90607704067500006</v>
      </c>
      <c r="J60" s="242">
        <f t="shared" si="14"/>
        <v>2.402599708775</v>
      </c>
      <c r="K60" s="5"/>
      <c r="L60" s="245" t="str">
        <f>LISTA!C10</f>
        <v>"A" 2 Carriles</v>
      </c>
      <c r="M60" s="5" t="s">
        <v>418</v>
      </c>
      <c r="N60" s="5"/>
      <c r="O60" s="238">
        <v>-2.5999999999999999E-3</v>
      </c>
      <c r="P60" s="238">
        <v>0.1346</v>
      </c>
      <c r="Q60" s="238">
        <v>-0.1013</v>
      </c>
    </row>
    <row r="61" spans="2:17" x14ac:dyDescent="0.25">
      <c r="B61" s="78" t="s">
        <v>240</v>
      </c>
      <c r="C61" s="234" t="str">
        <f t="shared" si="15"/>
        <v>CUOTA 2 Carriles</v>
      </c>
      <c r="D61" s="234" t="str">
        <f t="shared" si="15"/>
        <v>CUOTA 2 Carriles</v>
      </c>
      <c r="E61" s="234" t="str">
        <f t="shared" si="15"/>
        <v>"C" 2 Carriles</v>
      </c>
      <c r="F61" s="234">
        <f t="shared" si="15"/>
        <v>0</v>
      </c>
      <c r="G61" s="242">
        <f t="shared" si="14"/>
        <v>-9.1133518799999078E-2</v>
      </c>
      <c r="H61" s="242">
        <f t="shared" si="14"/>
        <v>0.89602742520000012</v>
      </c>
      <c r="I61" s="242">
        <f t="shared" si="14"/>
        <v>0.59245301660000005</v>
      </c>
      <c r="J61" s="242">
        <f t="shared" si="14"/>
        <v>0</v>
      </c>
      <c r="L61" s="245" t="str">
        <f>LISTA!C16</f>
        <v>"B" 4+ Carriles</v>
      </c>
      <c r="M61" s="5" t="s">
        <v>421</v>
      </c>
      <c r="N61" s="5"/>
      <c r="O61" s="238">
        <v>-8.9999999999999998E-4</v>
      </c>
      <c r="P61" s="238">
        <v>0.1133</v>
      </c>
      <c r="Q61" s="238">
        <v>-1.7000000000000001E-2</v>
      </c>
    </row>
    <row r="62" spans="2:17" x14ac:dyDescent="0.25">
      <c r="B62" s="78" t="s">
        <v>242</v>
      </c>
      <c r="C62" s="234" t="str">
        <f t="shared" si="15"/>
        <v>CUOTA 2 Carriles</v>
      </c>
      <c r="D62" s="234" t="str">
        <f t="shared" si="15"/>
        <v>CUOTA 2 Carriles</v>
      </c>
      <c r="E62" s="234" t="str">
        <f t="shared" si="15"/>
        <v>CUOTA 2 Carriles</v>
      </c>
      <c r="F62" s="234" t="str">
        <f t="shared" si="15"/>
        <v>CUOTA 4+ Carriles</v>
      </c>
      <c r="G62" s="242">
        <f t="shared" si="14"/>
        <v>-9.1133518799999078E-2</v>
      </c>
      <c r="H62" s="242">
        <f t="shared" si="14"/>
        <v>0.89602742520000012</v>
      </c>
      <c r="I62" s="242">
        <f t="shared" si="14"/>
        <v>0.90607704067500006</v>
      </c>
      <c r="J62" s="242">
        <f t="shared" si="14"/>
        <v>2.402599708775</v>
      </c>
      <c r="L62" s="245" t="str">
        <f>LISTA!C11</f>
        <v>"B" 2 Carriles</v>
      </c>
      <c r="M62" s="5" t="s">
        <v>424</v>
      </c>
      <c r="N62" s="5"/>
      <c r="O62" s="238">
        <v>-2.3E-3</v>
      </c>
      <c r="P62" s="238">
        <v>0.1226</v>
      </c>
      <c r="Q62" s="238">
        <v>-1.8599999999999998E-2</v>
      </c>
    </row>
    <row r="63" spans="2:17" x14ac:dyDescent="0.25">
      <c r="B63" s="78" t="s">
        <v>243</v>
      </c>
      <c r="C63" s="234" t="str">
        <f t="shared" si="15"/>
        <v>CUOTA 2 Carriles</v>
      </c>
      <c r="D63" s="234" t="str">
        <f t="shared" si="15"/>
        <v>CUOTA 2 Carriles</v>
      </c>
      <c r="E63" s="234" t="str">
        <f t="shared" si="15"/>
        <v>"C" 2 Carriles</v>
      </c>
      <c r="F63" s="234">
        <f t="shared" si="15"/>
        <v>0</v>
      </c>
      <c r="G63" s="242">
        <f t="shared" si="14"/>
        <v>0.92763343207500015</v>
      </c>
      <c r="H63" s="242">
        <f t="shared" si="14"/>
        <v>0.90607704067500006</v>
      </c>
      <c r="I63" s="242">
        <f t="shared" si="14"/>
        <v>0.59245301660000005</v>
      </c>
      <c r="J63" s="242">
        <f t="shared" si="14"/>
        <v>0</v>
      </c>
      <c r="L63" s="245" t="str">
        <f>LISTA!C12</f>
        <v>"C" 2 Carriles</v>
      </c>
      <c r="M63" s="5" t="s">
        <v>427</v>
      </c>
      <c r="N63" s="5"/>
      <c r="O63" s="238">
        <v>-2.3999999999999998E-3</v>
      </c>
      <c r="P63" s="238">
        <v>0.14430000000000001</v>
      </c>
      <c r="Q63" s="238">
        <v>-0.1237</v>
      </c>
    </row>
    <row r="64" spans="2:17" x14ac:dyDescent="0.25">
      <c r="B64" s="78" t="s">
        <v>244</v>
      </c>
      <c r="C64" s="234" t="str">
        <f t="shared" si="15"/>
        <v>CUOTA 2 Carriles</v>
      </c>
      <c r="D64" s="234" t="str">
        <f t="shared" si="15"/>
        <v>CUOTA 4+ Carriles</v>
      </c>
      <c r="E64" s="234">
        <f t="shared" si="15"/>
        <v>0</v>
      </c>
      <c r="F64" s="234">
        <f t="shared" si="15"/>
        <v>0</v>
      </c>
      <c r="G64" s="242">
        <f t="shared" si="14"/>
        <v>0.92763343207500015</v>
      </c>
      <c r="H64" s="242">
        <f t="shared" si="14"/>
        <v>2.402599708775</v>
      </c>
      <c r="I64" s="242">
        <f t="shared" si="14"/>
        <v>0</v>
      </c>
      <c r="J64" s="242">
        <f t="shared" si="14"/>
        <v>0</v>
      </c>
      <c r="L64" s="245" t="str">
        <f>LISTA!C13</f>
        <v>"D" 2 Carriles</v>
      </c>
      <c r="M64" s="5" t="s">
        <v>430</v>
      </c>
      <c r="N64" s="5"/>
      <c r="O64" s="238">
        <v>-5.5999999999999999E-3</v>
      </c>
      <c r="P64" s="238">
        <v>0.1552</v>
      </c>
      <c r="Q64" s="238">
        <v>-3.6700000000000003E-2</v>
      </c>
    </row>
    <row r="65" spans="2:18" x14ac:dyDescent="0.25">
      <c r="B65" s="26" t="s">
        <v>76</v>
      </c>
      <c r="C65" s="5" t="s">
        <v>403</v>
      </c>
    </row>
    <row r="66" spans="2:18" x14ac:dyDescent="0.25">
      <c r="B66" s="26"/>
      <c r="C66" s="5"/>
    </row>
    <row r="67" spans="2:18" ht="14.45" customHeight="1" x14ac:dyDescent="0.25">
      <c r="B67" s="346" t="s">
        <v>286</v>
      </c>
      <c r="C67" s="336" t="s">
        <v>445</v>
      </c>
      <c r="D67" s="336"/>
      <c r="E67" s="336"/>
      <c r="F67" s="336"/>
      <c r="G67" s="360" t="s">
        <v>474</v>
      </c>
      <c r="H67" s="361"/>
      <c r="I67" s="361"/>
      <c r="J67" s="361"/>
      <c r="K67" s="264" t="s">
        <v>431</v>
      </c>
      <c r="L67" s="229" t="s">
        <v>216</v>
      </c>
      <c r="M67" s="229" t="s">
        <v>450</v>
      </c>
      <c r="N67" s="229" t="s">
        <v>451</v>
      </c>
      <c r="O67" s="229" t="s">
        <v>452</v>
      </c>
      <c r="P67" s="229" t="s">
        <v>453</v>
      </c>
      <c r="Q67" s="229" t="s">
        <v>455</v>
      </c>
      <c r="R67" s="296" t="s">
        <v>510</v>
      </c>
    </row>
    <row r="68" spans="2:18" x14ac:dyDescent="0.25">
      <c r="B68" s="347"/>
      <c r="C68" s="230" t="s">
        <v>69</v>
      </c>
      <c r="D68" s="230" t="s">
        <v>237</v>
      </c>
      <c r="E68" s="230" t="s">
        <v>28</v>
      </c>
      <c r="F68" s="230" t="s">
        <v>238</v>
      </c>
      <c r="G68" s="34" t="s">
        <v>69</v>
      </c>
      <c r="H68" s="34" t="s">
        <v>237</v>
      </c>
      <c r="I68" s="34" t="s">
        <v>28</v>
      </c>
      <c r="J68" s="34" t="s">
        <v>238</v>
      </c>
      <c r="K68" s="264" t="s">
        <v>475</v>
      </c>
      <c r="L68" s="234" t="s">
        <v>345</v>
      </c>
      <c r="M68" s="234" t="s">
        <v>345</v>
      </c>
      <c r="N68" s="234" t="s">
        <v>14</v>
      </c>
      <c r="O68" s="234" t="s">
        <v>15</v>
      </c>
      <c r="P68" s="234" t="s">
        <v>454</v>
      </c>
      <c r="Q68" s="234" t="s">
        <v>279</v>
      </c>
      <c r="R68" s="302" t="s">
        <v>530</v>
      </c>
    </row>
    <row r="69" spans="2:18" x14ac:dyDescent="0.25">
      <c r="B69" s="259" t="str">
        <f>B59</f>
        <v>Ruta principal</v>
      </c>
      <c r="C69" s="234">
        <f t="shared" ref="C69:F74" si="16">IF(C39=$C$6,$C$10,IF(C39=$D$6,$D$10,IF(C39=$E$6,$E$10,IF(C39=$F$6,$F$10,IF(C39=$G$6,$G$10,IF(C39=$H$6,$H$10,IF(C39=$I$6,$I$10,0)))))))</f>
        <v>45.4</v>
      </c>
      <c r="D69" s="234">
        <f t="shared" si="16"/>
        <v>23.3</v>
      </c>
      <c r="E69" s="234">
        <f t="shared" si="16"/>
        <v>53.9</v>
      </c>
      <c r="F69" s="234">
        <f t="shared" si="16"/>
        <v>0</v>
      </c>
      <c r="G69" s="261">
        <f t="shared" ref="G69:G74" si="17">G59*C69</f>
        <v>-4.1374617535199576</v>
      </c>
      <c r="H69" s="261">
        <f t="shared" ref="H69:J70" si="18">H59*D69</f>
        <v>20.618553024622504</v>
      </c>
      <c r="I69" s="261">
        <f t="shared" si="18"/>
        <v>31.93321759474</v>
      </c>
      <c r="J69" s="261">
        <f>J59*F69</f>
        <v>0</v>
      </c>
      <c r="K69" s="261">
        <f>SUM(G69:J69)</f>
        <v>48.414308865842543</v>
      </c>
      <c r="L69" s="265">
        <f ca="1">K69*$C$4</f>
        <v>1725472.4303270646</v>
      </c>
      <c r="M69" s="261"/>
      <c r="N69" s="261"/>
      <c r="O69" s="261"/>
      <c r="P69" s="261"/>
      <c r="Q69" s="261"/>
      <c r="R69" s="301">
        <f ca="1">L69/$L$69</f>
        <v>1</v>
      </c>
    </row>
    <row r="70" spans="2:18" x14ac:dyDescent="0.25">
      <c r="B70" s="78" t="s">
        <v>241</v>
      </c>
      <c r="C70" s="234">
        <f t="shared" si="16"/>
        <v>45.4</v>
      </c>
      <c r="D70" s="234">
        <f t="shared" si="16"/>
        <v>23.3</v>
      </c>
      <c r="E70" s="234">
        <f t="shared" si="16"/>
        <v>39.1</v>
      </c>
      <c r="F70" s="234">
        <f t="shared" si="16"/>
        <v>67.2</v>
      </c>
      <c r="G70" s="242">
        <f t="shared" si="17"/>
        <v>-4.1374617535199576</v>
      </c>
      <c r="H70" s="242">
        <f t="shared" si="18"/>
        <v>20.618553024622504</v>
      </c>
      <c r="I70" s="242">
        <f t="shared" si="18"/>
        <v>35.427612290392503</v>
      </c>
      <c r="J70" s="242">
        <f t="shared" si="18"/>
        <v>161.45470042968</v>
      </c>
      <c r="K70" s="242">
        <f>SUM(G70:J70)</f>
        <v>213.36340399117506</v>
      </c>
      <c r="L70" s="256">
        <f t="shared" ref="L70:L74" ca="1" si="19">K70*$C$4</f>
        <v>7604212.0573830744</v>
      </c>
      <c r="M70" s="256">
        <f ca="1">L70-$L$69</f>
        <v>5878739.6270560101</v>
      </c>
      <c r="N70" s="256">
        <f ca="1">M70/364</f>
        <v>16150.383590813215</v>
      </c>
      <c r="O70" s="256">
        <f ca="1">N70/24</f>
        <v>672.93264961721729</v>
      </c>
      <c r="P70" s="256">
        <f ca="1">O70/60</f>
        <v>11.215544160286955</v>
      </c>
      <c r="Q70" s="256">
        <f ca="1">P70/60</f>
        <v>0.18692573600478257</v>
      </c>
      <c r="R70" s="301">
        <f t="shared" ref="R70:R74" ca="1" si="20">L70/$L$69</f>
        <v>4.407031908323038</v>
      </c>
    </row>
    <row r="71" spans="2:18" x14ac:dyDescent="0.25">
      <c r="B71" s="78" t="s">
        <v>240</v>
      </c>
      <c r="C71" s="234">
        <f t="shared" si="16"/>
        <v>45.4</v>
      </c>
      <c r="D71" s="234">
        <f t="shared" si="16"/>
        <v>23.3</v>
      </c>
      <c r="E71" s="234">
        <f t="shared" si="16"/>
        <v>53.9</v>
      </c>
      <c r="F71" s="234">
        <f t="shared" si="16"/>
        <v>0</v>
      </c>
      <c r="G71" s="242">
        <f t="shared" si="17"/>
        <v>-4.1374617535199576</v>
      </c>
      <c r="H71" s="242">
        <f t="shared" ref="H71:J74" si="21">H61*D71</f>
        <v>20.877439007160003</v>
      </c>
      <c r="I71" s="242">
        <f t="shared" si="21"/>
        <v>31.93321759474</v>
      </c>
      <c r="J71" s="242">
        <f t="shared" si="21"/>
        <v>0</v>
      </c>
      <c r="K71" s="242">
        <f t="shared" ref="K71:K74" si="22">SUM(G71:J71)</f>
        <v>48.673194848380049</v>
      </c>
      <c r="L71" s="256">
        <f t="shared" ca="1" si="19"/>
        <v>1734699.0543547755</v>
      </c>
      <c r="M71" s="256">
        <f t="shared" ref="M71:M74" ca="1" si="23">L71-$L$69</f>
        <v>9226.6240277108736</v>
      </c>
      <c r="N71" s="256">
        <f t="shared" ref="N71:N74" ca="1" si="24">M71/364</f>
        <v>25.347868207996907</v>
      </c>
      <c r="O71" s="256">
        <f t="shared" ref="O71:O74" ca="1" si="25">N71/24</f>
        <v>1.0561611753332045</v>
      </c>
      <c r="P71" s="256">
        <f t="shared" ref="P71:Q74" ca="1" si="26">O71/60</f>
        <v>1.7602686255553408E-2</v>
      </c>
      <c r="Q71" s="256">
        <f t="shared" ca="1" si="26"/>
        <v>2.9337810425922344E-4</v>
      </c>
      <c r="R71" s="301">
        <f t="shared" ca="1" si="20"/>
        <v>1.0053473030722153</v>
      </c>
    </row>
    <row r="72" spans="2:18" x14ac:dyDescent="0.25">
      <c r="B72" s="78" t="s">
        <v>242</v>
      </c>
      <c r="C72" s="234">
        <f t="shared" si="16"/>
        <v>45.4</v>
      </c>
      <c r="D72" s="234">
        <f t="shared" si="16"/>
        <v>23.3</v>
      </c>
      <c r="E72" s="234">
        <f t="shared" si="16"/>
        <v>39.1</v>
      </c>
      <c r="F72" s="234">
        <f t="shared" si="16"/>
        <v>67.2</v>
      </c>
      <c r="G72" s="242">
        <f t="shared" si="17"/>
        <v>-4.1374617535199576</v>
      </c>
      <c r="H72" s="242">
        <f t="shared" si="21"/>
        <v>20.877439007160003</v>
      </c>
      <c r="I72" s="242">
        <f t="shared" si="21"/>
        <v>35.427612290392503</v>
      </c>
      <c r="J72" s="242">
        <f t="shared" si="21"/>
        <v>161.45470042968</v>
      </c>
      <c r="K72" s="242">
        <f t="shared" si="22"/>
        <v>213.62228997371255</v>
      </c>
      <c r="L72" s="256">
        <f t="shared" ca="1" si="19"/>
        <v>7613438.6814107848</v>
      </c>
      <c r="M72" s="256">
        <f t="shared" ca="1" si="23"/>
        <v>5887966.2510837205</v>
      </c>
      <c r="N72" s="256">
        <f t="shared" ca="1" si="24"/>
        <v>16175.73145902121</v>
      </c>
      <c r="O72" s="256">
        <f t="shared" ca="1" si="25"/>
        <v>673.98881079255045</v>
      </c>
      <c r="P72" s="256">
        <f t="shared" ca="1" si="26"/>
        <v>11.233146846542507</v>
      </c>
      <c r="Q72" s="256">
        <f t="shared" ca="1" si="26"/>
        <v>0.18721911410904177</v>
      </c>
      <c r="R72" s="301">
        <f t="shared" ca="1" si="20"/>
        <v>4.4123792113952538</v>
      </c>
    </row>
    <row r="73" spans="2:18" x14ac:dyDescent="0.25">
      <c r="B73" s="78" t="s">
        <v>243</v>
      </c>
      <c r="C73" s="234">
        <f t="shared" si="16"/>
        <v>83.1</v>
      </c>
      <c r="D73" s="234">
        <f t="shared" si="16"/>
        <v>39.1</v>
      </c>
      <c r="E73" s="234">
        <f t="shared" si="16"/>
        <v>53.9</v>
      </c>
      <c r="F73" s="234">
        <f t="shared" si="16"/>
        <v>0</v>
      </c>
      <c r="G73" s="242">
        <f t="shared" si="17"/>
        <v>77.086338205432511</v>
      </c>
      <c r="H73" s="242">
        <f t="shared" si="21"/>
        <v>35.427612290392503</v>
      </c>
      <c r="I73" s="242">
        <f t="shared" si="21"/>
        <v>31.93321759474</v>
      </c>
      <c r="J73" s="242">
        <f t="shared" si="21"/>
        <v>0</v>
      </c>
      <c r="K73" s="242">
        <f t="shared" si="22"/>
        <v>144.44716809056501</v>
      </c>
      <c r="L73" s="256">
        <f t="shared" ca="1" si="19"/>
        <v>5148056.6803037385</v>
      </c>
      <c r="M73" s="256">
        <f t="shared" ca="1" si="23"/>
        <v>3422584.2499766741</v>
      </c>
      <c r="N73" s="256">
        <f t="shared" ca="1" si="24"/>
        <v>9402.7039834524021</v>
      </c>
      <c r="O73" s="256">
        <f t="shared" ca="1" si="25"/>
        <v>391.77933264385007</v>
      </c>
      <c r="P73" s="256">
        <f t="shared" ca="1" si="26"/>
        <v>6.5296555440641679</v>
      </c>
      <c r="Q73" s="256">
        <f t="shared" ca="1" si="26"/>
        <v>0.10882759240106947</v>
      </c>
      <c r="R73" s="301">
        <f t="shared" ca="1" si="20"/>
        <v>2.9835635677632477</v>
      </c>
    </row>
    <row r="74" spans="2:18" x14ac:dyDescent="0.25">
      <c r="B74" s="78" t="s">
        <v>244</v>
      </c>
      <c r="C74" s="234">
        <f t="shared" si="16"/>
        <v>83.1</v>
      </c>
      <c r="D74" s="234">
        <f t="shared" si="16"/>
        <v>67.2</v>
      </c>
      <c r="E74" s="234">
        <f t="shared" si="16"/>
        <v>0</v>
      </c>
      <c r="F74" s="234">
        <f t="shared" si="16"/>
        <v>0</v>
      </c>
      <c r="G74" s="242">
        <f t="shared" si="17"/>
        <v>77.086338205432511</v>
      </c>
      <c r="H74" s="242">
        <f t="shared" si="21"/>
        <v>161.45470042968</v>
      </c>
      <c r="I74" s="242">
        <f t="shared" si="21"/>
        <v>0</v>
      </c>
      <c r="J74" s="242">
        <f t="shared" si="21"/>
        <v>0</v>
      </c>
      <c r="K74" s="242">
        <f t="shared" si="22"/>
        <v>238.5410386351125</v>
      </c>
      <c r="L74" s="256">
        <f t="shared" ca="1" si="19"/>
        <v>8501535.9159006942</v>
      </c>
      <c r="M74" s="256">
        <f t="shared" ca="1" si="23"/>
        <v>6776063.4855736298</v>
      </c>
      <c r="N74" s="256">
        <f t="shared" ca="1" si="24"/>
        <v>18615.55902630118</v>
      </c>
      <c r="O74" s="256">
        <f t="shared" ca="1" si="25"/>
        <v>775.6482927625492</v>
      </c>
      <c r="P74" s="256">
        <f t="shared" ca="1" si="26"/>
        <v>12.927471546042486</v>
      </c>
      <c r="Q74" s="256">
        <f t="shared" ca="1" si="26"/>
        <v>0.21545785910070811</v>
      </c>
      <c r="R74" s="301">
        <f t="shared" ca="1" si="20"/>
        <v>4.9270772262001437</v>
      </c>
    </row>
    <row r="75" spans="2:18" x14ac:dyDescent="0.25">
      <c r="B75" s="26" t="s">
        <v>76</v>
      </c>
      <c r="C75" s="5" t="s">
        <v>403</v>
      </c>
    </row>
    <row r="88" spans="12:19" x14ac:dyDescent="0.25">
      <c r="Q88" s="5"/>
      <c r="R88" s="5"/>
      <c r="S88" s="5"/>
    </row>
    <row r="89" spans="12:19" x14ac:dyDescent="0.25">
      <c r="N89" s="5"/>
      <c r="O89" s="5"/>
      <c r="P89" s="5"/>
      <c r="Q89" s="5"/>
      <c r="R89" s="5"/>
      <c r="S89" s="5"/>
    </row>
    <row r="90" spans="12:19" x14ac:dyDescent="0.25">
      <c r="N90" s="5"/>
      <c r="O90" s="5"/>
      <c r="P90" s="5"/>
      <c r="Q90" s="5"/>
      <c r="R90" s="5"/>
      <c r="S90" s="5"/>
    </row>
    <row r="91" spans="12:19" x14ac:dyDescent="0.25">
      <c r="N91" s="5"/>
      <c r="O91" s="5"/>
      <c r="P91" s="5"/>
      <c r="Q91" s="5"/>
      <c r="R91" s="5"/>
      <c r="S91" s="5"/>
    </row>
    <row r="92" spans="12:19" x14ac:dyDescent="0.25">
      <c r="L92" s="5"/>
      <c r="N92" s="5"/>
      <c r="O92" s="5"/>
      <c r="P92" s="5"/>
      <c r="Q92" s="5"/>
      <c r="R92" s="5"/>
      <c r="S92" s="5"/>
    </row>
    <row r="93" spans="12:19" x14ac:dyDescent="0.25">
      <c r="N93" s="5"/>
      <c r="O93" s="5"/>
      <c r="P93" s="5"/>
      <c r="Q93" s="5"/>
      <c r="R93" s="5"/>
      <c r="S93" s="5"/>
    </row>
    <row r="94" spans="12:19" x14ac:dyDescent="0.25">
      <c r="L94" s="5"/>
      <c r="N94" s="5"/>
      <c r="O94" s="5"/>
      <c r="P94" s="5"/>
      <c r="Q94" s="5"/>
      <c r="R94" s="5"/>
      <c r="S94" s="5"/>
    </row>
    <row r="95" spans="12:19" x14ac:dyDescent="0.25">
      <c r="L95" s="5"/>
      <c r="N95" s="5"/>
      <c r="O95" s="5"/>
      <c r="P95" s="5"/>
      <c r="Q95" s="5"/>
      <c r="R95" s="5"/>
      <c r="S95" s="5"/>
    </row>
    <row r="96" spans="12:19" x14ac:dyDescent="0.25">
      <c r="L96" s="5"/>
      <c r="N96" s="5"/>
      <c r="O96" s="5"/>
      <c r="P96" s="5"/>
      <c r="Q96" s="5"/>
      <c r="R96" s="5"/>
      <c r="S96" s="5"/>
    </row>
    <row r="97" spans="12:17" x14ac:dyDescent="0.25">
      <c r="L97" s="5"/>
      <c r="N97" s="5"/>
      <c r="O97" s="5"/>
      <c r="P97" s="5"/>
      <c r="Q97" s="5"/>
    </row>
    <row r="98" spans="12:17" x14ac:dyDescent="0.25">
      <c r="P98" s="5"/>
      <c r="Q98" s="5"/>
    </row>
    <row r="99" spans="12:17" x14ac:dyDescent="0.25">
      <c r="L99" s="5"/>
      <c r="N99" s="5"/>
      <c r="O99" s="5"/>
      <c r="P99" s="5"/>
      <c r="Q99" s="5"/>
    </row>
    <row r="100" spans="12:17" x14ac:dyDescent="0.25">
      <c r="L100" s="5"/>
      <c r="N100" s="5"/>
      <c r="O100" s="5"/>
      <c r="Q100" s="5"/>
    </row>
    <row r="101" spans="12:17" x14ac:dyDescent="0.25">
      <c r="L101" s="5"/>
      <c r="N101" s="5"/>
      <c r="O101" s="5"/>
      <c r="Q101" s="5"/>
    </row>
    <row r="102" spans="12:17" x14ac:dyDescent="0.25">
      <c r="L102" s="5"/>
      <c r="N102" s="5"/>
      <c r="O102" s="5"/>
      <c r="Q102" s="5"/>
    </row>
    <row r="103" spans="12:17" x14ac:dyDescent="0.25">
      <c r="L103" s="5"/>
      <c r="N103" s="5"/>
      <c r="O103" s="5"/>
      <c r="Q103" s="5"/>
    </row>
    <row r="104" spans="12:17" x14ac:dyDescent="0.25">
      <c r="L104" s="5"/>
      <c r="N104" s="5"/>
      <c r="O104" s="5"/>
      <c r="Q104" s="5"/>
    </row>
    <row r="105" spans="12:17" x14ac:dyDescent="0.25">
      <c r="L105" s="5"/>
      <c r="N105" s="5"/>
      <c r="O105" s="5"/>
      <c r="Q105" s="5"/>
    </row>
    <row r="106" spans="12:17" x14ac:dyDescent="0.25">
      <c r="L106" s="5"/>
      <c r="N106" s="5"/>
      <c r="O106" s="5"/>
      <c r="Q106" s="5"/>
    </row>
    <row r="107" spans="12:17" x14ac:dyDescent="0.25">
      <c r="L107" s="5"/>
      <c r="N107" s="5"/>
      <c r="O107" s="5"/>
      <c r="Q107" s="5"/>
    </row>
    <row r="108" spans="12:17" x14ac:dyDescent="0.25">
      <c r="L108" s="5"/>
      <c r="M108" s="5"/>
      <c r="P108" s="5"/>
    </row>
    <row r="109" spans="12:17" x14ac:dyDescent="0.25">
      <c r="L109" s="5"/>
      <c r="M109" s="5"/>
      <c r="N109" s="5"/>
      <c r="O109" s="5"/>
      <c r="P109" s="5"/>
    </row>
    <row r="110" spans="12:17" x14ac:dyDescent="0.25">
      <c r="L110" s="5"/>
      <c r="M110" s="5"/>
      <c r="N110" s="5"/>
      <c r="O110" s="5"/>
      <c r="P110" s="5"/>
    </row>
    <row r="111" spans="12:17" x14ac:dyDescent="0.25">
      <c r="L111" s="5"/>
      <c r="M111" s="5"/>
      <c r="N111" s="5"/>
      <c r="O111" s="5"/>
      <c r="P111" s="5"/>
    </row>
    <row r="112" spans="12:17" x14ac:dyDescent="0.25">
      <c r="L112" s="5"/>
      <c r="M112" s="5"/>
      <c r="N112" s="5"/>
      <c r="O112" s="5"/>
      <c r="P112" s="5"/>
    </row>
    <row r="113" spans="12:16" x14ac:dyDescent="0.25">
      <c r="L113" s="5"/>
      <c r="M113" s="5"/>
      <c r="N113" s="5"/>
      <c r="O113" s="5"/>
      <c r="P113" s="5"/>
    </row>
    <row r="114" spans="12:16" x14ac:dyDescent="0.25">
      <c r="L114" s="5"/>
      <c r="M114" s="5"/>
      <c r="N114" s="5"/>
      <c r="O114" s="5"/>
      <c r="P114" s="5"/>
    </row>
    <row r="115" spans="12:16" x14ac:dyDescent="0.25">
      <c r="L115" s="5"/>
      <c r="M115" s="5"/>
      <c r="N115" s="5"/>
      <c r="O115" s="5"/>
      <c r="P115" s="5"/>
    </row>
    <row r="116" spans="12:16" x14ac:dyDescent="0.25">
      <c r="L116" s="5"/>
      <c r="M116" s="5"/>
      <c r="N116" s="5"/>
      <c r="O116" s="5"/>
      <c r="P116" s="5"/>
    </row>
    <row r="117" spans="12:16" x14ac:dyDescent="0.25">
      <c r="L117" s="5"/>
      <c r="M117" s="5"/>
      <c r="N117" s="5"/>
      <c r="O117" s="5"/>
      <c r="P117" s="5"/>
    </row>
    <row r="118" spans="12:16" x14ac:dyDescent="0.25">
      <c r="L118" s="5"/>
      <c r="M118" s="5"/>
      <c r="N118" s="5"/>
      <c r="O118" s="5"/>
      <c r="P118" s="5"/>
    </row>
    <row r="119" spans="12:16" x14ac:dyDescent="0.25">
      <c r="L119" s="5"/>
      <c r="M119" s="5"/>
      <c r="N119" s="5"/>
      <c r="O119" s="5"/>
      <c r="P119" s="5"/>
    </row>
    <row r="120" spans="12:16" x14ac:dyDescent="0.25">
      <c r="L120" s="5"/>
      <c r="M120" s="5"/>
      <c r="N120" s="5"/>
      <c r="O120" s="5"/>
      <c r="P120" s="5"/>
    </row>
    <row r="121" spans="12:16" x14ac:dyDescent="0.25">
      <c r="L121" s="5"/>
      <c r="M121" s="5"/>
      <c r="N121" s="5"/>
      <c r="O121" s="5"/>
      <c r="P121" s="5"/>
    </row>
    <row r="122" spans="12:16" x14ac:dyDescent="0.25">
      <c r="L122" s="5"/>
      <c r="M122" s="5"/>
      <c r="N122" s="5"/>
      <c r="O122" s="5"/>
      <c r="P122" s="5"/>
    </row>
    <row r="123" spans="12:16" x14ac:dyDescent="0.25">
      <c r="L123" s="5"/>
      <c r="M123" s="5"/>
      <c r="N123" s="5"/>
      <c r="O123" s="5"/>
      <c r="P123" s="5"/>
    </row>
    <row r="124" spans="12:16" x14ac:dyDescent="0.25">
      <c r="L124" s="5"/>
      <c r="M124" s="5"/>
      <c r="N124" s="5"/>
      <c r="O124" s="5"/>
      <c r="P124" s="5"/>
    </row>
    <row r="125" spans="12:16" x14ac:dyDescent="0.25">
      <c r="L125" s="5"/>
      <c r="M125" s="5"/>
      <c r="N125" s="5"/>
      <c r="O125" s="5"/>
      <c r="P125" s="5"/>
    </row>
    <row r="126" spans="12:16" x14ac:dyDescent="0.25">
      <c r="L126" s="5"/>
      <c r="M126" s="5"/>
      <c r="N126" s="5"/>
      <c r="O126" s="5"/>
      <c r="P126" s="5"/>
    </row>
    <row r="127" spans="12:16" x14ac:dyDescent="0.25">
      <c r="L127" s="5"/>
      <c r="M127" s="5"/>
      <c r="N127" s="5"/>
      <c r="O127" s="5"/>
      <c r="P127" s="5"/>
    </row>
    <row r="128" spans="12:16" x14ac:dyDescent="0.25">
      <c r="L128" s="5"/>
      <c r="M128" s="5"/>
      <c r="N128" s="5"/>
      <c r="O128" s="5"/>
      <c r="P128" s="5"/>
    </row>
    <row r="129" spans="12:16" x14ac:dyDescent="0.25">
      <c r="L129" s="5"/>
      <c r="M129" s="5"/>
      <c r="N129" s="5"/>
      <c r="O129" s="5"/>
      <c r="P129" s="5"/>
    </row>
    <row r="130" spans="12:16" x14ac:dyDescent="0.25">
      <c r="L130" s="5"/>
      <c r="M130" s="5"/>
      <c r="N130" s="5"/>
      <c r="O130" s="5"/>
      <c r="P130" s="5"/>
    </row>
    <row r="131" spans="12:16" x14ac:dyDescent="0.25">
      <c r="L131" s="5"/>
      <c r="M131" s="5"/>
      <c r="N131" s="5"/>
      <c r="O131" s="5"/>
      <c r="P131" s="5"/>
    </row>
    <row r="132" spans="12:16" x14ac:dyDescent="0.25">
      <c r="L132" s="5"/>
      <c r="M132" s="5"/>
      <c r="N132" s="5"/>
      <c r="O132" s="5"/>
      <c r="P132" s="5"/>
    </row>
    <row r="133" spans="12:16" x14ac:dyDescent="0.25">
      <c r="L133" s="5"/>
      <c r="M133" s="5"/>
      <c r="N133" s="5"/>
      <c r="O133" s="5"/>
      <c r="P133" s="5"/>
    </row>
    <row r="134" spans="12:16" x14ac:dyDescent="0.25">
      <c r="L134" s="5"/>
      <c r="M134" s="5"/>
      <c r="N134" s="5"/>
      <c r="O134" s="5"/>
      <c r="P134" s="5"/>
    </row>
    <row r="135" spans="12:16" x14ac:dyDescent="0.25">
      <c r="L135" s="5"/>
      <c r="M135" s="5"/>
      <c r="N135" s="5"/>
      <c r="O135" s="5"/>
      <c r="P135" s="5"/>
    </row>
    <row r="136" spans="12:16" x14ac:dyDescent="0.25">
      <c r="L136" s="5"/>
      <c r="M136" s="5"/>
      <c r="N136" s="5"/>
      <c r="O136" s="5"/>
      <c r="P136" s="5"/>
    </row>
    <row r="137" spans="12:16" x14ac:dyDescent="0.25">
      <c r="L137" s="5"/>
      <c r="M137" s="5"/>
      <c r="N137" s="5"/>
      <c r="O137" s="5"/>
      <c r="P137" s="5"/>
    </row>
    <row r="138" spans="12:16" x14ac:dyDescent="0.25">
      <c r="L138" s="5"/>
      <c r="M138" s="5"/>
      <c r="N138" s="5"/>
      <c r="O138" s="5"/>
      <c r="P138" s="5"/>
    </row>
    <row r="139" spans="12:16" x14ac:dyDescent="0.25">
      <c r="L139" s="5"/>
      <c r="M139" s="5"/>
      <c r="N139" s="5"/>
      <c r="O139" s="5"/>
      <c r="P139" s="5"/>
    </row>
    <row r="140" spans="12:16" x14ac:dyDescent="0.25">
      <c r="L140" s="5"/>
      <c r="M140" s="5"/>
      <c r="N140" s="5"/>
      <c r="O140" s="5"/>
      <c r="P140" s="5"/>
    </row>
    <row r="141" spans="12:16" x14ac:dyDescent="0.25">
      <c r="L141" s="5"/>
      <c r="M141" s="5"/>
      <c r="N141" s="5"/>
      <c r="O141" s="5"/>
      <c r="P141" s="5"/>
    </row>
    <row r="142" spans="12:16" x14ac:dyDescent="0.25">
      <c r="L142" s="5"/>
      <c r="M142" s="5"/>
      <c r="N142" s="5"/>
      <c r="O142" s="5"/>
      <c r="P142" s="5"/>
    </row>
    <row r="143" spans="12:16" x14ac:dyDescent="0.25">
      <c r="L143" s="5"/>
      <c r="M143" s="5"/>
      <c r="N143" s="5"/>
      <c r="O143" s="5"/>
      <c r="P143" s="5"/>
    </row>
    <row r="144" spans="12:16" x14ac:dyDescent="0.25">
      <c r="L144" s="5"/>
      <c r="M144" s="5"/>
      <c r="N144" s="5"/>
      <c r="O144" s="5"/>
      <c r="P144" s="5"/>
    </row>
    <row r="145" spans="12:16" x14ac:dyDescent="0.25">
      <c r="L145" s="5"/>
      <c r="M145" s="5"/>
      <c r="N145" s="5"/>
      <c r="O145" s="5"/>
      <c r="P145" s="5"/>
    </row>
    <row r="146" spans="12:16" x14ac:dyDescent="0.25">
      <c r="L146" s="5"/>
      <c r="M146" s="5"/>
      <c r="N146" s="5"/>
      <c r="O146" s="5"/>
      <c r="P146" s="5"/>
    </row>
  </sheetData>
  <mergeCells count="27">
    <mergeCell ref="G18:J18"/>
    <mergeCell ref="B27:B28"/>
    <mergeCell ref="C27:C28"/>
    <mergeCell ref="D27:D28"/>
    <mergeCell ref="E27:E28"/>
    <mergeCell ref="F27:F28"/>
    <mergeCell ref="G27:J27"/>
    <mergeCell ref="B18:B19"/>
    <mergeCell ref="C18:C19"/>
    <mergeCell ref="D18:D19"/>
    <mergeCell ref="E18:E19"/>
    <mergeCell ref="F18:F19"/>
    <mergeCell ref="E37:E38"/>
    <mergeCell ref="F37:F38"/>
    <mergeCell ref="B67:B68"/>
    <mergeCell ref="C67:F67"/>
    <mergeCell ref="G67:J67"/>
    <mergeCell ref="B47:B48"/>
    <mergeCell ref="C47:F47"/>
    <mergeCell ref="G47:J47"/>
    <mergeCell ref="B57:B58"/>
    <mergeCell ref="C57:F57"/>
    <mergeCell ref="G57:J57"/>
    <mergeCell ref="G37:J37"/>
    <mergeCell ref="B37:B38"/>
    <mergeCell ref="C37:C38"/>
    <mergeCell ref="D37:D38"/>
  </mergeCells>
  <pageMargins left="0.7" right="0.7" top="0.75" bottom="0.75" header="0.3" footer="0.3"/>
  <pageSetup scale="61" fitToHeight="0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>
    <pageSetUpPr fitToPage="1"/>
  </sheetPr>
  <dimension ref="B1:U111"/>
  <sheetViews>
    <sheetView zoomScale="145" zoomScaleNormal="145" workbookViewId="0">
      <selection activeCell="M106" sqref="M106"/>
    </sheetView>
  </sheetViews>
  <sheetFormatPr baseColWidth="10" defaultColWidth="11.5703125" defaultRowHeight="15" x14ac:dyDescent="0.25"/>
  <cols>
    <col min="1" max="1" width="11.5703125" style="238"/>
    <col min="2" max="2" width="11.85546875" style="106" customWidth="1"/>
    <col min="3" max="3" width="15.85546875" style="238" customWidth="1"/>
    <col min="4" max="4" width="2.140625" style="238" customWidth="1"/>
    <col min="5" max="8" width="17.28515625" style="238" customWidth="1"/>
    <col min="9" max="11" width="17.28515625" style="238" hidden="1" customWidth="1"/>
    <col min="12" max="12" width="17.28515625" style="238" customWidth="1"/>
    <col min="13" max="13" width="16.5703125" style="238" customWidth="1"/>
    <col min="14" max="17" width="16.5703125" style="238" hidden="1" customWidth="1"/>
    <col min="18" max="20" width="16.5703125" style="238" customWidth="1"/>
    <col min="21" max="16384" width="11.5703125" style="238"/>
  </cols>
  <sheetData>
    <row r="1" spans="2:13" x14ac:dyDescent="0.25">
      <c r="B1" s="105" t="s">
        <v>34</v>
      </c>
    </row>
    <row r="2" spans="2:13" x14ac:dyDescent="0.25">
      <c r="B2" s="55" t="s">
        <v>487</v>
      </c>
    </row>
    <row r="3" spans="2:13" x14ac:dyDescent="0.25">
      <c r="E3" s="5"/>
    </row>
    <row r="4" spans="2:13" x14ac:dyDescent="0.25">
      <c r="E4" s="234" t="s">
        <v>19</v>
      </c>
      <c r="F4" s="229" t="s">
        <v>24</v>
      </c>
      <c r="G4" s="229" t="s">
        <v>20</v>
      </c>
      <c r="H4" s="237" t="s">
        <v>476</v>
      </c>
      <c r="I4" s="234"/>
      <c r="J4" s="234"/>
      <c r="K4" s="234"/>
      <c r="L4" s="237" t="s">
        <v>477</v>
      </c>
      <c r="M4" s="237" t="s">
        <v>477</v>
      </c>
    </row>
    <row r="5" spans="2:13" x14ac:dyDescent="0.25">
      <c r="E5" s="352" t="s">
        <v>1</v>
      </c>
      <c r="F5" s="234" t="s">
        <v>6</v>
      </c>
      <c r="G5" s="234" t="s">
        <v>7</v>
      </c>
      <c r="H5" s="234" t="s">
        <v>478</v>
      </c>
      <c r="I5" s="234"/>
      <c r="J5" s="234"/>
      <c r="K5" s="234"/>
      <c r="L5" s="234" t="s">
        <v>16</v>
      </c>
      <c r="M5" s="234" t="s">
        <v>16</v>
      </c>
    </row>
    <row r="6" spans="2:13" ht="45" x14ac:dyDescent="0.25">
      <c r="E6" s="352"/>
      <c r="F6" s="233" t="s">
        <v>5</v>
      </c>
      <c r="G6" s="233" t="s">
        <v>3</v>
      </c>
      <c r="H6" s="233" t="s">
        <v>479</v>
      </c>
      <c r="I6" s="234"/>
      <c r="J6" s="234"/>
      <c r="K6" s="234"/>
      <c r="L6" s="233" t="s">
        <v>480</v>
      </c>
      <c r="M6" s="233" t="s">
        <v>480</v>
      </c>
    </row>
    <row r="7" spans="2:13" x14ac:dyDescent="0.25">
      <c r="E7" s="234" t="str">
        <f>MCI!B42</f>
        <v>A</v>
      </c>
      <c r="F7" s="27">
        <f>MCI!J42</f>
        <v>0.79800000000000004</v>
      </c>
      <c r="G7" s="234">
        <f t="shared" ref="G7:G14" si="0">F7*$C$14</f>
        <v>4355.8829999999998</v>
      </c>
      <c r="H7" s="267">
        <f>MCI!C107</f>
        <v>68</v>
      </c>
      <c r="I7" s="135">
        <f>IF(AND(C12=2,C11="P"),T!$I$66,IF(AND(C12=4,C11="P"),T!$I$67,IF(AND(C12=6,C11="P"),T!$I$68,IF(AND(C12=8,C11="P"),T!$I$69,IF(AND(C12=10,C11="P"),T!$I$70,IF(AND(C12=12,C11="P"),T!$I$71,0))))))</f>
        <v>0</v>
      </c>
      <c r="J7" s="135">
        <f>IF(AND(C12=2,C11="L"),T!$J$66,IF(AND(C12=4,C11="L"),T!$J$67,IF(AND(C12=6,C11="L"),T!$J$68,IF(AND(C12=8,C11="L"),T!$J$69,IF(AND(C12=10,C11="L"),T!$J$70,IF(AND(C12=12,C11="L"),T!$J$71,0))))))</f>
        <v>65.94</v>
      </c>
      <c r="K7" s="135">
        <f>IF(AND(C12=2,C11="M"),T!$K$66,IF(AND(C12=4,C11="M"),T!$K$67,IF(AND(C12=6,C11="M"),T!$K$68,IF(AND(C12=8,C11="M"),T!$K$69,IF(AND(C12=10,C11="M"),T!$K$70,IF(AND(C12=12,C11="M"),T!$K$71,0))))))</f>
        <v>0</v>
      </c>
      <c r="L7" s="23">
        <f t="shared" ref="L7:L14" si="1">H7*G7</f>
        <v>296200.04399999999</v>
      </c>
      <c r="M7" s="23">
        <f t="shared" ref="M7:M14" si="2">H7*G7</f>
        <v>296200.04399999999</v>
      </c>
    </row>
    <row r="8" spans="2:13" x14ac:dyDescent="0.25">
      <c r="B8" s="238"/>
      <c r="E8" s="234" t="str">
        <f>MCI!B43</f>
        <v xml:space="preserve"> B</v>
      </c>
      <c r="F8" s="27">
        <f>MCI!J43</f>
        <v>3.4000000000000002E-2</v>
      </c>
      <c r="G8" s="234">
        <f t="shared" si="0"/>
        <v>185.58900000000003</v>
      </c>
      <c r="H8" s="267">
        <f>MCI!C108</f>
        <v>163</v>
      </c>
      <c r="I8" s="135">
        <f>IF(AND(C12=2,C11="P"),T!$I$56,IF(AND(C12=4,C11="P"),T!$I$57,IF(AND(C12=6,C11="P"),T!$I$58,IF(AND(C12=8,C11="P"),T!$I$59,IF(AND(C12=10,C11="P"),T!$I$60,IF(AND(C12=12,C11="P"),T!$I$61,0))))))</f>
        <v>0</v>
      </c>
      <c r="J8" s="135">
        <f>IF(AND(C12=2,C11="L"),T!$J$56,IF(AND(C12=4,C11="L"),T!$J$57,IF(AND(C12=6,C11="L"),T!$J$58,IF(AND(C12=8,C11="L"),T!$J$59,IF(AND(C12=10,C11="L"),T!$J$60,IF(AND(C12=12,C11="L"),T!$J$61,0))))))</f>
        <v>62.12</v>
      </c>
      <c r="K8" s="135">
        <f>IF(AND(C12=2,C11="M"),T!$K$56,IF(AND(C12=4,C11="M"),T!$K$57,IF(AND(C12=6,C11="M"),T!$K$58,IF(AND(C12=8,C11="M"),T!$K$59,IF(AND(C12=10,C11="M"),T!$K$60,IF(AND(C12=12,C11="M"),T!$K$61,0))))))</f>
        <v>0</v>
      </c>
      <c r="L8" s="23">
        <f t="shared" si="1"/>
        <v>30251.007000000005</v>
      </c>
      <c r="M8" s="23">
        <f t="shared" si="2"/>
        <v>30251.007000000005</v>
      </c>
    </row>
    <row r="9" spans="2:13" x14ac:dyDescent="0.25">
      <c r="B9" s="107" t="str">
        <f>MCI!$B$21</f>
        <v>Tramo</v>
      </c>
      <c r="C9" s="121">
        <f>MCI!C21</f>
        <v>1</v>
      </c>
      <c r="E9" s="234" t="str">
        <f>MCI!B44</f>
        <v>C2</v>
      </c>
      <c r="F9" s="27">
        <f>MCI!J44</f>
        <v>7.0166666666666669E-2</v>
      </c>
      <c r="G9" s="234">
        <f t="shared" si="0"/>
        <v>383.00475</v>
      </c>
      <c r="H9" s="267">
        <f>MCI!C109</f>
        <v>82</v>
      </c>
      <c r="I9" s="135">
        <f>IF(AND(C12=2,C11="P"),T!$I$46,IF(AND(C12=4,C11="P"),T!$I$47,IF(AND(C12=6,C11="P"),T!$I$48,IF(AND(C12=8,C11="P"),T!$I$49,IF(AND(C12=10,C11="P"),T!$I$50,IF(AND(C12=12,C11="P"),T!$I$51,0))))))</f>
        <v>0</v>
      </c>
      <c r="J9" s="135">
        <f>IF(AND(C12=2,C11="L"),T!$J$46,IF(AND(C12=4,C11="L"),T!$J$47,IF(AND(C12=6,C11="L"),T!$J$48,IF(AND(C12=8,C11="L"),T!$J$49,IF(AND(C12=10,C11="L"),T!$J$50,IF(AND(C12=12,C11="L"),T!$J$51,0))))))</f>
        <v>53.77</v>
      </c>
      <c r="K9" s="135">
        <f>IF(AND(C12=2,C11="M"),T!$K$46,IF(AND(C12=4,C11="M"),T!$K$47,IF(AND(C12=6,C11="M"),T!$K$48,IF(AND(C12=8,C11="M"),T!$K$49,IF(AND(C12=10,C11="M"),T!$K$50,IF(AND(C12=12,C11="M"),T!$K$51,0))))))</f>
        <v>0</v>
      </c>
      <c r="L9" s="23">
        <f t="shared" si="1"/>
        <v>31406.389500000001</v>
      </c>
      <c r="M9" s="23">
        <f t="shared" si="2"/>
        <v>31406.389500000001</v>
      </c>
    </row>
    <row r="10" spans="2:13" ht="14.45" customHeight="1" x14ac:dyDescent="0.25">
      <c r="B10" s="108" t="s">
        <v>263</v>
      </c>
      <c r="C10" s="76">
        <f>MCI!C23</f>
        <v>45400</v>
      </c>
      <c r="E10" s="234" t="str">
        <f>MCI!B45</f>
        <v>C3</v>
      </c>
      <c r="F10" s="27">
        <f>MCI!J45</f>
        <v>2.0833333333333332E-2</v>
      </c>
      <c r="G10" s="234">
        <f t="shared" si="0"/>
        <v>113.71875</v>
      </c>
      <c r="H10" s="267">
        <f>MCI!C110</f>
        <v>142</v>
      </c>
      <c r="I10" s="135">
        <f>IF(AND(C12=2,C11="P"),T!$I$36,IF(AND(C12=4,C11="P"),T!$I$37,IF(AND(C12=6,C11="P"),T!$I$38,IF(AND(C12=8,C11="P"),T!$I$39,IF(AND(C12=10,C11="P"),T!$I$40,IF(AND(C12=12,C11="P"),T!$I$41,0))))))</f>
        <v>0</v>
      </c>
      <c r="J10" s="135">
        <f>IF(AND(C12=2,C11="L"),T!$J$36,IF(AND(C12=4,C11="L"),T!$J$37,IF(AND(C12=6,C11="L"),T!$J$38,IF(AND(C12=8,C11="L"),T!$J$39,IF(AND(C12=10,C11="L"),T!$J$40,IF(AND(C12=12,C11="L"),T!$J$41,0))))))</f>
        <v>46.26</v>
      </c>
      <c r="K10" s="135">
        <f>IF(AND(C12=2,C11="M"),T!$K$36,IF(AND(C12=4,C11="M"),T!$K$37,IF(AND(C12=6,C11="M"),T!$K$38,IF(AND(C12=8,C11="M"),T!$K$39,IF(AND(C12=10,C11="M"),T!$K$40,IF(AND(C12=12,C11="M"),T!$K$41,0))))))</f>
        <v>0</v>
      </c>
      <c r="L10" s="23">
        <f t="shared" si="1"/>
        <v>16148.0625</v>
      </c>
      <c r="M10" s="23">
        <f t="shared" si="2"/>
        <v>16148.0625</v>
      </c>
    </row>
    <row r="11" spans="2:13" x14ac:dyDescent="0.25">
      <c r="B11" s="108" t="str">
        <f>MCI!$B$24</f>
        <v>Tipo de terreno</v>
      </c>
      <c r="C11" s="121" t="str">
        <f>IF(MCI!C24=LISTA!A2,"P",IF(MCI!C24=LISTA!A3,"L",IF(MCI!C24=LISTA!A4,"M",0)))</f>
        <v>L</v>
      </c>
      <c r="E11" s="234" t="str">
        <f>MCI!B46</f>
        <v>T3S2</v>
      </c>
      <c r="F11" s="27">
        <f>MCI!J46</f>
        <v>4.8333333333333339E-2</v>
      </c>
      <c r="G11" s="234">
        <f t="shared" si="0"/>
        <v>263.82750000000004</v>
      </c>
      <c r="H11" s="267">
        <f>MCI!C111</f>
        <v>250</v>
      </c>
      <c r="I11" s="135">
        <f>IF(AND(C12=2,C11="P"),T!$I$26,IF(AND(C12=4,C11="P"),T!$I$27,IF(AND(C12=6,C11="P"),T!$I$28,IF(AND(C12=8,C11="P"),T!$I$29,IF(AND(C12=10,C11="P"),T!$I$30,IF(AND(C12=12,C11="P"),T!$I$31,0))))))</f>
        <v>0</v>
      </c>
      <c r="J11" s="135">
        <f>IF(AND(C12=2,C11="L"),T!$J$26,IF(AND(C12=4,C11="L"),T!$J$27,IF(AND(C12=6,C11="L"),T!$J$28,IF(AND(C12=8,C11="L"),T!$J$29,IF(AND(C12=10,C11="L"),T!$J$30,IF(AND(C12=12,C11="L"),T!$J$31,0))))))</f>
        <v>50.12</v>
      </c>
      <c r="K11" s="135">
        <f>IF(AND(C12=2,C11="M"),T!$K$26,IF(AND(C12=4,C11="M"),T!$K$27,IF(AND(C12=6,C11="M"),T!$K$28,IF(AND(C12=8,C11="M"),T!$K$29,IF(AND(C12=10,C11="M"),T!$K$30,IF(AND(C12=12,C11="M"),T!$K$31,0))))))</f>
        <v>0</v>
      </c>
      <c r="L11" s="23">
        <f t="shared" si="1"/>
        <v>65956.875000000015</v>
      </c>
      <c r="M11" s="23">
        <f t="shared" si="2"/>
        <v>65956.875000000015</v>
      </c>
    </row>
    <row r="12" spans="2:13" x14ac:dyDescent="0.25">
      <c r="B12" s="108" t="str">
        <f>MCI!$B$25</f>
        <v>IIR</v>
      </c>
      <c r="C12" s="77">
        <f>IF(MCI!C25=LISTA!D2,2,IF(MCI!C25=LISTA!D3,4,IF(MCI!C25=LISTA!D4,6,IF(MCI!C25=LISTA!D5,8,IF(MCI!C25=LISTA!D6,10,IF(MCI!C25=LISTA!D7,12,0))))))</f>
        <v>4</v>
      </c>
      <c r="D12" s="3"/>
      <c r="E12" s="234" t="str">
        <f>MCI!B47</f>
        <v xml:space="preserve"> T3S3</v>
      </c>
      <c r="F12" s="27">
        <f>MCI!J47</f>
        <v>1.55E-2</v>
      </c>
      <c r="G12" s="234">
        <f t="shared" si="0"/>
        <v>84.606750000000005</v>
      </c>
      <c r="H12" s="267">
        <f>MCI!C112</f>
        <v>310</v>
      </c>
      <c r="I12" s="135">
        <f>IF(AND(C12=2,C11="P"),T!$I$16,IF(AND(C12=4,C11="P"),T!$I$17,IF(AND(C12=6,C11="P"),T!$I$18,IF(AND(C12=8,C11="P"),T!$I$19,IF(AND(C12=10,C11="P"),T!$I$20,IF(AND(C12=12,C11="P"),T!$I$21,0))))))</f>
        <v>0</v>
      </c>
      <c r="J12" s="135">
        <f>IF(AND(C12=2,C11="L"),T!$J$16,IF(AND(C12=4,C11="L"),T!$J$17,IF(AND(C12=6,C11="L"),T!$J$18,IF(AND(C12=8,C11="L"),T!$J$19,IF(AND(C12=10,C11="L"),T!$J$20,IF(AND(C12=12,C11="L"),T!$J$21,0))))))</f>
        <v>43.36</v>
      </c>
      <c r="K12" s="135">
        <f>IF(AND(C12=2,C11="M"),T!$K$16,IF(AND(C12=4,C11="M"),T!$K$17,IF(AND(C12=6,C11="M"),T!$K$18,IF(AND(C12=8,C11="M"),T!$K$19,IF(AND(C12=10,C11="M"),T!$K$20,IF(AND(C12=12,C11="M"),T!$K$21,0))))))</f>
        <v>0</v>
      </c>
      <c r="L12" s="23">
        <f t="shared" si="1"/>
        <v>26228.092500000002</v>
      </c>
      <c r="M12" s="23">
        <f t="shared" si="2"/>
        <v>26228.092500000002</v>
      </c>
    </row>
    <row r="13" spans="2:13" x14ac:dyDescent="0.25">
      <c r="B13" s="108" t="str">
        <f>MCI!$B$22</f>
        <v>Descripción</v>
      </c>
      <c r="C13" s="104" t="str">
        <f>MCI!C22</f>
        <v>Toluca - Atlacomulco (57)</v>
      </c>
      <c r="D13" s="3"/>
      <c r="E13" s="234" t="str">
        <f>MCI!B48</f>
        <v xml:space="preserve"> T3S2R4</v>
      </c>
      <c r="F13" s="27">
        <f>MCI!J48</f>
        <v>1.0166666666666666E-2</v>
      </c>
      <c r="G13" s="234">
        <f t="shared" si="0"/>
        <v>55.494749999999996</v>
      </c>
      <c r="H13" s="267">
        <f>MCI!C113</f>
        <v>454</v>
      </c>
      <c r="I13" s="135">
        <f>IF(AND(C12=2,C11="P"),T!$I$6,IF(AND(C12=4,C11="P"),T!$I$7,IF(AND(C12=6,C11="P"),T!$I$8,IF(AND(C12=8,C11="P"),T!$I$9,IF(AND(C12=10,C11="P"),T!$I$10,IF(AND(C12=12,C11="P"),T!$I$11,0))))))</f>
        <v>0</v>
      </c>
      <c r="J13" s="135">
        <f>IF(AND(C12=2,C11="L"),T!$J$6,IF(AND(C12=4,C11="L"),T!$J$7,IF(AND(C12=6,C11="L"),T!$J$8,IF(AND(C12=8,C11="L"),T!$J$9,IF(AND(C12=10,C11="L"),T!$J$10,IF(AND(C12=12,C11="L"),T!$J$11,0))))))</f>
        <v>34</v>
      </c>
      <c r="K13" s="135">
        <f>IF(AND(C12=2,C11="M"),T!$K$6,IF(AND(C12=4,C11="M"),T!$K$7,IF(AND(C12=6,C11="M"),T!$K$8,IF(AND(C12=8,C11="M"),T!$K$9,IF(AND(C12=10,C11="M"),T!$K$10,IF(AND(C12=12,C11="M"),T!$K$11,0))))))</f>
        <v>0</v>
      </c>
      <c r="L13" s="23">
        <f t="shared" si="1"/>
        <v>25194.6165</v>
      </c>
      <c r="M13" s="23">
        <f t="shared" si="2"/>
        <v>25194.6165</v>
      </c>
    </row>
    <row r="14" spans="2:13" x14ac:dyDescent="0.25">
      <c r="B14" s="108" t="s">
        <v>262</v>
      </c>
      <c r="C14" s="121">
        <f>MCI!C58</f>
        <v>5458.5</v>
      </c>
      <c r="E14" s="234" t="str">
        <f>MCI!B49</f>
        <v xml:space="preserve"> OTROS</v>
      </c>
      <c r="F14" s="27">
        <f>MCI!J49</f>
        <v>3.0000000000000768E-3</v>
      </c>
      <c r="G14" s="234">
        <f t="shared" si="0"/>
        <v>16.375500000000418</v>
      </c>
      <c r="H14" s="267">
        <f>MCI!C114</f>
        <v>209.85714285714286</v>
      </c>
      <c r="I14" s="234"/>
      <c r="J14" s="234"/>
      <c r="K14" s="234"/>
      <c r="L14" s="23">
        <f t="shared" si="1"/>
        <v>3436.5156428572304</v>
      </c>
      <c r="M14" s="23">
        <f t="shared" si="2"/>
        <v>3436.5156428572304</v>
      </c>
    </row>
    <row r="15" spans="2:13" x14ac:dyDescent="0.25">
      <c r="E15" s="19"/>
      <c r="F15" s="43"/>
      <c r="G15" s="19"/>
      <c r="H15" s="44"/>
      <c r="L15" s="229" t="s">
        <v>431</v>
      </c>
      <c r="M15" s="23">
        <f>SUM(M7:M14)</f>
        <v>494821.60264285724</v>
      </c>
    </row>
    <row r="17" spans="2:13" x14ac:dyDescent="0.25">
      <c r="E17" s="234" t="s">
        <v>19</v>
      </c>
      <c r="F17" s="229" t="s">
        <v>24</v>
      </c>
      <c r="G17" s="229" t="s">
        <v>20</v>
      </c>
      <c r="H17" s="237" t="s">
        <v>476</v>
      </c>
      <c r="I17" s="234"/>
      <c r="J17" s="234"/>
      <c r="K17" s="234"/>
      <c r="L17" s="237" t="s">
        <v>477</v>
      </c>
      <c r="M17" s="237" t="s">
        <v>477</v>
      </c>
    </row>
    <row r="18" spans="2:13" x14ac:dyDescent="0.25">
      <c r="E18" s="352" t="s">
        <v>1</v>
      </c>
      <c r="F18" s="234" t="s">
        <v>6</v>
      </c>
      <c r="G18" s="234" t="s">
        <v>7</v>
      </c>
      <c r="H18" s="234" t="s">
        <v>478</v>
      </c>
      <c r="I18" s="234"/>
      <c r="J18" s="234"/>
      <c r="K18" s="234"/>
      <c r="L18" s="234" t="s">
        <v>16</v>
      </c>
      <c r="M18" s="234" t="s">
        <v>16</v>
      </c>
    </row>
    <row r="19" spans="2:13" ht="45" x14ac:dyDescent="0.25">
      <c r="E19" s="352"/>
      <c r="F19" s="233" t="s">
        <v>5</v>
      </c>
      <c r="G19" s="233" t="s">
        <v>3</v>
      </c>
      <c r="H19" s="233" t="s">
        <v>479</v>
      </c>
      <c r="I19" s="234"/>
      <c r="J19" s="234"/>
      <c r="K19" s="234"/>
      <c r="L19" s="233" t="s">
        <v>480</v>
      </c>
      <c r="M19" s="233" t="s">
        <v>480</v>
      </c>
    </row>
    <row r="20" spans="2:13" x14ac:dyDescent="0.25">
      <c r="E20" s="234" t="str">
        <f>E7</f>
        <v>A</v>
      </c>
      <c r="F20" s="27">
        <f>F7</f>
        <v>0.79800000000000004</v>
      </c>
      <c r="G20" s="234">
        <f t="shared" ref="G20:G27" si="3">F20*$C$14</f>
        <v>4355.8829999999998</v>
      </c>
      <c r="H20" s="267">
        <f>MCI!D107</f>
        <v>0</v>
      </c>
      <c r="I20" s="135">
        <f>IF(AND(C25=2,C24="P"),T!$I$66,IF(AND(C25=4,C24="P"),T!$I$67,IF(AND(C25=6,C24="P"),T!$I$68,IF(AND(C25=8,C24="P"),T!$I$69,IF(AND(C25=10,C24="P"),T!$I$70,IF(AND(C25=12,C24="P"),T!$I$71,0))))))</f>
        <v>0</v>
      </c>
      <c r="J20" s="135">
        <f>IF(AND(C25=2,C24="L"),T!$J$66,IF(AND(C25=4,C24="L"),T!$J$67,IF(AND(C25=6,C24="L"),T!$J$68,IF(AND(C25=8,C24="L"),T!$J$69,IF(AND(C25=10,C24="L"),T!$J$70,IF(AND(C25=12,C24="L"),T!$J$71,0))))))</f>
        <v>0</v>
      </c>
      <c r="K20" s="135">
        <f>IF(AND(C25=2,C24="M"),T!$K$66,IF(AND(C25=4,C24="M"),T!$K$67,IF(AND(C25=6,C24="M"),T!$K$68,IF(AND(C25=8,C24="M"),T!$K$69,IF(AND(C25=10,C24="M"),T!$K$70,IF(AND(C25=12,C24="M"),T!$K$71,0))))))</f>
        <v>50.76</v>
      </c>
      <c r="L20" s="23">
        <f t="shared" ref="L20:L27" si="4">H20*G20</f>
        <v>0</v>
      </c>
      <c r="M20" s="23">
        <f t="shared" ref="M20:M27" si="5">H20*G20</f>
        <v>0</v>
      </c>
    </row>
    <row r="21" spans="2:13" x14ac:dyDescent="0.25">
      <c r="E21" s="234" t="str">
        <f t="shared" ref="E21:F27" si="6">E8</f>
        <v xml:space="preserve"> B</v>
      </c>
      <c r="F21" s="27">
        <f t="shared" si="6"/>
        <v>3.4000000000000002E-2</v>
      </c>
      <c r="G21" s="234">
        <f t="shared" si="3"/>
        <v>185.58900000000003</v>
      </c>
      <c r="H21" s="267">
        <f>MCI!D108</f>
        <v>0</v>
      </c>
      <c r="I21" s="135">
        <f>IF(AND(C25=2,C24="P"),T!$I$56,IF(AND(C25=4,C24="P"),T!$I$57,IF(AND(C25=6,C24="P"),T!$I$58,IF(AND(C25=8,C24="P"),T!$I$59,IF(AND(C25=10,C24="P"),T!$I$60,IF(AND(C25=12,C24="P"),T!$I$61,0))))))</f>
        <v>0</v>
      </c>
      <c r="J21" s="135">
        <f>IF(AND(C25=2,C24="L"),T!$J$56,IF(AND(C25=4,C24="L"),T!$J$57,IF(AND(C25=6,C24="L"),T!$J$58,IF(AND(C25=8,C24="L"),T!$J$59,IF(AND(C25=10,C24="L"),T!$J$60,IF(AND(C25=12,C24="L"),T!$J$61,0))))))</f>
        <v>0</v>
      </c>
      <c r="K21" s="135">
        <f>IF(AND(C25=2,C24="M"),T!$K$56,IF(AND(C25=4,C24="M"),T!$K$57,IF(AND(C25=6,C24="M"),T!$K$58,IF(AND(C25=8,C24="M"),T!$K$59,IF(AND(C25=10,C24="M"),T!$K$60,IF(AND(C25=12,C24="M"),T!$K$61,0))))))</f>
        <v>46.94</v>
      </c>
      <c r="L21" s="23">
        <f t="shared" si="4"/>
        <v>0</v>
      </c>
      <c r="M21" s="23">
        <f t="shared" si="5"/>
        <v>0</v>
      </c>
    </row>
    <row r="22" spans="2:13" x14ac:dyDescent="0.25">
      <c r="B22" s="107" t="str">
        <f t="shared" ref="B22:B27" si="7">B9</f>
        <v>Tramo</v>
      </c>
      <c r="C22" s="234">
        <f>MCI!D21</f>
        <v>2</v>
      </c>
      <c r="E22" s="234" t="str">
        <f t="shared" si="6"/>
        <v>C2</v>
      </c>
      <c r="F22" s="27">
        <f t="shared" si="6"/>
        <v>7.0166666666666669E-2</v>
      </c>
      <c r="G22" s="234">
        <f t="shared" si="3"/>
        <v>383.00475</v>
      </c>
      <c r="H22" s="267">
        <f>MCI!D109</f>
        <v>0</v>
      </c>
      <c r="I22" s="135">
        <f>IF(AND(C25=2,C24="P"),T!$I$46,IF(AND(C25=4,C24="P"),T!$I$47,IF(AND(C25=6,C24="P"),T!$I$48,IF(AND(C25=8,C24="P"),T!$I$49,IF(AND(C25=10,C24="P"),T!$I$50,IF(AND(C25=12,C24="P"),T!$I$51,0))))))</f>
        <v>0</v>
      </c>
      <c r="J22" s="135">
        <f>IF(AND(C25=2,C24="L"),T!$J$46,IF(AND(C25=4,C24="L"),T!$J$47,IF(AND(C25=6,C24="L"),T!$J$48,IF(AND(C25=8,C24="L"),T!$J$49,IF(AND(C25=10,C24="L"),T!$J$50,IF(AND(C25=12,C24="L"),T!$J$51,0))))))</f>
        <v>0</v>
      </c>
      <c r="K22" s="135">
        <f>IF(AND(C25=2,C24="M"),T!$K$46,IF(AND(C25=4,C24="M"),T!$K$47,IF(AND(C25=6,C24="M"),T!$K$48,IF(AND(C25=8,C24="M"),T!$K$49,IF(AND(C25=10,C24="M"),T!$K$50,IF(AND(C25=12,C24="M"),T!$K$51,0))))))</f>
        <v>41.23</v>
      </c>
      <c r="L22" s="23">
        <f t="shared" si="4"/>
        <v>0</v>
      </c>
      <c r="M22" s="23">
        <f t="shared" si="5"/>
        <v>0</v>
      </c>
    </row>
    <row r="23" spans="2:13" x14ac:dyDescent="0.25">
      <c r="B23" s="107" t="str">
        <f t="shared" si="7"/>
        <v>Longitud (km)</v>
      </c>
      <c r="C23" s="76">
        <f>MCI!D23</f>
        <v>23300</v>
      </c>
      <c r="E23" s="234" t="str">
        <f t="shared" si="6"/>
        <v>C3</v>
      </c>
      <c r="F23" s="27">
        <f t="shared" si="6"/>
        <v>2.0833333333333332E-2</v>
      </c>
      <c r="G23" s="234">
        <f t="shared" si="3"/>
        <v>113.71875</v>
      </c>
      <c r="H23" s="267">
        <f>MCI!D110</f>
        <v>0</v>
      </c>
      <c r="I23" s="135">
        <f>IF(AND(C25=2,C24="P"),T!$I$36,IF(AND(C25=4,C24="P"),T!$I$37,IF(AND(C25=6,C24="P"),T!$I$38,IF(AND(C25=8,C24="P"),T!$I$39,IF(AND(C25=10,C24="P"),T!$I$40,IF(AND(C25=12,C24="P"),T!$I$41,0))))))</f>
        <v>0</v>
      </c>
      <c r="J23" s="135">
        <f>IF(AND(C25=2,C24="L"),T!$J$36,IF(AND(C25=4,C24="L"),T!$J$37,IF(AND(C25=6,C24="L"),T!$J$38,IF(AND(C25=8,C24="L"),T!$J$39,IF(AND(C25=10,C24="L"),T!$J$40,IF(AND(C25=12,C24="L"),T!$J$41,0))))))</f>
        <v>0</v>
      </c>
      <c r="K23" s="135">
        <f>IF(AND(C25=2,C24="M"),T!$K$36,IF(AND(C25=4,C24="M"),T!$K$37,IF(AND(C25=6,C24="M"),T!$K$38,IF(AND(C25=8,C24="M"),T!$K$39,IF(AND(C25=10,C24="M"),T!$K$40,IF(AND(C25=12,C24="M"),T!$K$41,0))))))</f>
        <v>34.86</v>
      </c>
      <c r="L23" s="23">
        <f t="shared" si="4"/>
        <v>0</v>
      </c>
      <c r="M23" s="23">
        <f t="shared" si="5"/>
        <v>0</v>
      </c>
    </row>
    <row r="24" spans="2:13" x14ac:dyDescent="0.25">
      <c r="B24" s="107" t="str">
        <f t="shared" si="7"/>
        <v>Tipo de terreno</v>
      </c>
      <c r="C24" s="121" t="str">
        <f>IF(MCI!D24=LISTA!A2,"P",IF(MCI!D24=LISTA!A3,"L",IF(MCI!D24=LISTA!A4,"M",0)))</f>
        <v>M</v>
      </c>
      <c r="E24" s="234" t="str">
        <f t="shared" si="6"/>
        <v>T3S2</v>
      </c>
      <c r="F24" s="27">
        <f t="shared" si="6"/>
        <v>4.8333333333333339E-2</v>
      </c>
      <c r="G24" s="234">
        <f t="shared" si="3"/>
        <v>263.82750000000004</v>
      </c>
      <c r="H24" s="267">
        <f>MCI!D111</f>
        <v>0</v>
      </c>
      <c r="I24" s="135">
        <f>IF(AND(C25=2,C24="P"),T!$I$26,IF(AND(C25=4,C24="P"),T!$I$27,IF(AND(C25=6,C24="P"),T!$I$28,IF(AND(C25=8,C24="P"),T!$I$29,IF(AND(C25=10,C24="P"),T!$I$30,IF(AND(C25=12,C24="P"),T!$I$31,0))))))</f>
        <v>0</v>
      </c>
      <c r="J24" s="135">
        <f>IF(AND(C25=2,C24="L"),T!$J$26,IF(AND(C25=4,C24="L"),T!$J$27,IF(AND(C25=6,C24="L"),T!$J$28,IF(AND(C25=8,C24="L"),T!$J$29,IF(AND(C25=10,C24="L"),T!$J$30,IF(AND(C25=12,C24="L"),T!$J$31,0))))))</f>
        <v>0</v>
      </c>
      <c r="K24" s="135">
        <f>IF(AND(C25=2,C24="M"),T!$K$26,IF(AND(C25=4,C24="M"),T!$K$27,IF(AND(C25=6,C24="M"),T!$K$28,IF(AND(C25=8,C24="M"),T!$K$29,IF(AND(C25=10,C24="M"),T!$K$30,IF(AND(C25=12,C24="M"),T!$K$31,0))))))</f>
        <v>36.76</v>
      </c>
      <c r="L24" s="23">
        <f t="shared" si="4"/>
        <v>0</v>
      </c>
      <c r="M24" s="23">
        <f t="shared" si="5"/>
        <v>0</v>
      </c>
    </row>
    <row r="25" spans="2:13" x14ac:dyDescent="0.25">
      <c r="B25" s="107" t="str">
        <f t="shared" si="7"/>
        <v>IIR</v>
      </c>
      <c r="C25" s="77">
        <f>MCI!D25</f>
        <v>6</v>
      </c>
      <c r="E25" s="234" t="str">
        <f t="shared" si="6"/>
        <v xml:space="preserve"> T3S3</v>
      </c>
      <c r="F25" s="27">
        <f t="shared" si="6"/>
        <v>1.55E-2</v>
      </c>
      <c r="G25" s="234">
        <f t="shared" si="3"/>
        <v>84.606750000000005</v>
      </c>
      <c r="H25" s="267">
        <f>MCI!D112</f>
        <v>0</v>
      </c>
      <c r="I25" s="135">
        <f>IF(AND(C25=2,C24="P"),T!$I$16,IF(AND(C25=4,C24="P"),T!$I$17,IF(AND(C25=6,C24="P"),T!$I$18,IF(AND(C25=8,C24="P"),T!$I$19,IF(AND(C25=10,C24="P"),T!$I$20,IF(AND(C25=12,C24="P"),T!$I$21,0))))))</f>
        <v>0</v>
      </c>
      <c r="J25" s="135">
        <f>IF(AND(C25=2,C24="L"),T!$J$16,IF(AND(C25=4,C24="L"),T!$J$17,IF(AND(C25=6,C24="L"),T!$J$18,IF(AND(C25=8,C24="L"),T!$J$19,IF(AND(C25=10,C24="L"),T!$J$20,IF(AND(C25=12,C24="L"),T!$J$21,0))))))</f>
        <v>0</v>
      </c>
      <c r="K25" s="135">
        <f>IF(AND(C25=2,C24="M"),T!$K$16,IF(AND(C25=4,C24="M"),T!$K$17,IF(AND(C25=6,C24="M"),T!$K$18,IF(AND(C25=8,C24="M"),T!$K$19,IF(AND(C25=10,C24="M"),T!$K$20,IF(AND(C25=12,C24="M"),T!$K$21,0))))))</f>
        <v>31.68</v>
      </c>
      <c r="L25" s="23">
        <f t="shared" si="4"/>
        <v>0</v>
      </c>
      <c r="M25" s="23">
        <f t="shared" si="5"/>
        <v>0</v>
      </c>
    </row>
    <row r="26" spans="2:13" x14ac:dyDescent="0.25">
      <c r="B26" s="107" t="str">
        <f t="shared" si="7"/>
        <v>Descripción</v>
      </c>
      <c r="C26" s="104" t="str">
        <f>MCI!D22</f>
        <v>Atlacomulco - Acambay (57)</v>
      </c>
      <c r="E26" s="234" t="str">
        <f t="shared" si="6"/>
        <v xml:space="preserve"> T3S2R4</v>
      </c>
      <c r="F26" s="27">
        <f t="shared" si="6"/>
        <v>1.0166666666666666E-2</v>
      </c>
      <c r="G26" s="234">
        <f t="shared" si="3"/>
        <v>55.494749999999996</v>
      </c>
      <c r="H26" s="267">
        <f>MCI!D113</f>
        <v>0</v>
      </c>
      <c r="I26" s="135">
        <f>IF(AND(C25=2,C24="P"),T!$I$6,IF(AND(C25=4,C24="P"),T!$I$7,IF(AND(C25=6,C24="P"),T!$I$8,IF(AND(C25=8,C24="P"),T!$I$9,IF(AND(C25=10,C24="P"),T!$I$10,IF(AND(C25=12,C24="P"),T!$I$11,0))))))</f>
        <v>0</v>
      </c>
      <c r="J26" s="135">
        <f>IF(AND(C25=2,C24="L"),T!$J$6,IF(AND(C25=4,C24="L"),T!$J$7,IF(AND(C25=6,C24="L"),T!$J$8,IF(AND(C25=8,C24="L"),T!$J$9,IF(AND(C25=10,C24="L"),T!$J$10,IF(AND(C25=12,C24="L"),T!$J$11,0))))))</f>
        <v>0</v>
      </c>
      <c r="K26" s="135">
        <f>IF(AND(C25=2,C24="M"),T!$K$6,IF(AND(C25=4,C24="M"),T!$K$7,IF(AND(C25=6,C24="M"),T!$K$8,IF(AND(C25=8,C24="M"),T!$K$9,IF(AND(C25=10,C24="M"),T!$K$10,IF(AND(C25=12,C24="M"),T!$K$11,0))))))</f>
        <v>24.85</v>
      </c>
      <c r="L26" s="23">
        <f t="shared" si="4"/>
        <v>0</v>
      </c>
      <c r="M26" s="23">
        <f t="shared" si="5"/>
        <v>0</v>
      </c>
    </row>
    <row r="27" spans="2:13" x14ac:dyDescent="0.25">
      <c r="B27" s="225" t="str">
        <f t="shared" si="7"/>
        <v>TDPARP (vpd)</v>
      </c>
      <c r="C27" s="121">
        <f>C14</f>
        <v>5458.5</v>
      </c>
      <c r="E27" s="234" t="str">
        <f t="shared" si="6"/>
        <v xml:space="preserve"> OTROS</v>
      </c>
      <c r="F27" s="27">
        <f t="shared" si="6"/>
        <v>3.0000000000000768E-3</v>
      </c>
      <c r="G27" s="234">
        <f t="shared" si="3"/>
        <v>16.375500000000418</v>
      </c>
      <c r="H27" s="267">
        <f>MCI!D114</f>
        <v>0</v>
      </c>
      <c r="I27" s="234"/>
      <c r="J27" s="234"/>
      <c r="K27" s="234"/>
      <c r="L27" s="23">
        <f t="shared" si="4"/>
        <v>0</v>
      </c>
      <c r="M27" s="23">
        <f t="shared" si="5"/>
        <v>0</v>
      </c>
    </row>
    <row r="28" spans="2:13" x14ac:dyDescent="0.25">
      <c r="E28" s="19"/>
      <c r="F28" s="43"/>
      <c r="G28" s="19"/>
      <c r="H28" s="44"/>
      <c r="L28" s="229" t="s">
        <v>431</v>
      </c>
      <c r="M28" s="23">
        <f>SUM(M20:M27)</f>
        <v>0</v>
      </c>
    </row>
    <row r="30" spans="2:13" x14ac:dyDescent="0.25">
      <c r="E30" s="234" t="s">
        <v>19</v>
      </c>
      <c r="F30" s="229" t="s">
        <v>24</v>
      </c>
      <c r="G30" s="229" t="s">
        <v>20</v>
      </c>
      <c r="H30" s="237" t="s">
        <v>476</v>
      </c>
      <c r="I30" s="234"/>
      <c r="J30" s="234"/>
      <c r="K30" s="234"/>
      <c r="L30" s="237" t="s">
        <v>477</v>
      </c>
      <c r="M30" s="237" t="s">
        <v>477</v>
      </c>
    </row>
    <row r="31" spans="2:13" x14ac:dyDescent="0.25">
      <c r="E31" s="352" t="s">
        <v>1</v>
      </c>
      <c r="F31" s="234" t="s">
        <v>6</v>
      </c>
      <c r="G31" s="234" t="s">
        <v>7</v>
      </c>
      <c r="H31" s="234" t="s">
        <v>478</v>
      </c>
      <c r="I31" s="234"/>
      <c r="J31" s="234"/>
      <c r="K31" s="234"/>
      <c r="L31" s="234" t="s">
        <v>16</v>
      </c>
      <c r="M31" s="234" t="s">
        <v>16</v>
      </c>
    </row>
    <row r="32" spans="2:13" ht="45" x14ac:dyDescent="0.25">
      <c r="E32" s="352"/>
      <c r="F32" s="233" t="s">
        <v>5</v>
      </c>
      <c r="G32" s="233" t="s">
        <v>3</v>
      </c>
      <c r="H32" s="233" t="s">
        <v>479</v>
      </c>
      <c r="I32" s="234"/>
      <c r="J32" s="234"/>
      <c r="K32" s="234"/>
      <c r="L32" s="233" t="s">
        <v>480</v>
      </c>
      <c r="M32" s="233" t="s">
        <v>480</v>
      </c>
    </row>
    <row r="33" spans="2:13" x14ac:dyDescent="0.25">
      <c r="E33" s="234" t="str">
        <f>E20</f>
        <v>A</v>
      </c>
      <c r="F33" s="27">
        <f>F20</f>
        <v>0.79800000000000004</v>
      </c>
      <c r="G33" s="234">
        <f t="shared" ref="G33:G40" si="8">F33*$C$14</f>
        <v>4355.8829999999998</v>
      </c>
      <c r="H33" s="267">
        <f>MCI!E107</f>
        <v>25</v>
      </c>
      <c r="I33" s="135">
        <f>IF(AND(C38=2,C37="P"),T!$I$66,IF(AND(C38=4,C37="P"),T!$I$67,IF(AND(C38=6,C37="P"),T!$I$68,IF(AND(C38=8,C37="P"),T!$I$69,IF(AND(C38=10,C37="P"),T!$I$70,IF(AND(C38=12,C37="P"),T!$I$71,0))))))</f>
        <v>0</v>
      </c>
      <c r="J33" s="135">
        <f>IF(AND(C38=2,C37="L"),T!$J$66,IF(AND(C38=4,C37="L"),T!$J$67,IF(AND(C38=6,C37="L"),T!$J$68,IF(AND(C38=8,C37="L"),T!$J$69,IF(AND(C38=10,C37="L"),T!$J$70,IF(AND(C38=12,C37="L"),T!$J$71,0))))))</f>
        <v>0</v>
      </c>
      <c r="K33" s="135">
        <f>IF(AND(C38=2,C37="M"),T!$K$66,IF(AND(C38=4,C37="M"),T!$K$67,IF(AND(C38=6,C37="M"),T!$K$68,IF(AND(C38=8,C37="M"),T!$K$69,IF(AND(C38=10,C37="M"),T!$K$70,IF(AND(C38=12,C37="M"),T!$K$71,0))))))</f>
        <v>51.46</v>
      </c>
      <c r="L33" s="23">
        <f t="shared" ref="L33:L40" si="9">H33*G33</f>
        <v>108897.075</v>
      </c>
      <c r="M33" s="23">
        <f t="shared" ref="M33:M40" si="10">H33*G33</f>
        <v>108897.075</v>
      </c>
    </row>
    <row r="34" spans="2:13" x14ac:dyDescent="0.25">
      <c r="E34" s="234" t="str">
        <f t="shared" ref="E34:F34" si="11">E21</f>
        <v xml:space="preserve"> B</v>
      </c>
      <c r="F34" s="27">
        <f t="shared" si="11"/>
        <v>3.4000000000000002E-2</v>
      </c>
      <c r="G34" s="234">
        <f t="shared" si="8"/>
        <v>185.58900000000003</v>
      </c>
      <c r="H34" s="267">
        <f>MCI!E108</f>
        <v>35</v>
      </c>
      <c r="I34" s="135">
        <f>IF(AND(C38=2,C37="P"),T!$I$56,IF(AND(C38=4,C37="P"),T!$I$57,IF(AND(C38=6,C37="P"),T!$I$58,IF(AND(C38=8,C37="P"),T!$I$59,IF(AND(C38=10,C37="P"),T!$I$60,IF(AND(C38=12,C37="P"),T!$I$61,0))))))</f>
        <v>0</v>
      </c>
      <c r="J34" s="135">
        <f>IF(AND(C38=2,C37="L"),T!$J$56,IF(AND(C38=4,C37="L"),T!$J$57,IF(AND(C38=6,C37="L"),T!$J$58,IF(AND(C38=8,C37="L"),T!$J$59,IF(AND(C38=10,C37="L"),T!$J$60,IF(AND(C38=12,C37="L"),T!$J$61,0))))))</f>
        <v>0</v>
      </c>
      <c r="K34" s="135">
        <f>IF(AND(C38=2,C37="M"),T!$K$56,IF(AND(C38=4,C37="M"),T!$K$57,IF(AND(C38=6,C37="M"),T!$K$58,IF(AND(C38=8,C37="M"),T!$K$59,IF(AND(C38=10,C37="M"),T!$K$60,IF(AND(C38=12,C37="M"),T!$K$61,0))))))</f>
        <v>47.52</v>
      </c>
      <c r="L34" s="23">
        <f t="shared" si="9"/>
        <v>6495.6150000000007</v>
      </c>
      <c r="M34" s="23">
        <f t="shared" si="10"/>
        <v>6495.6150000000007</v>
      </c>
    </row>
    <row r="35" spans="2:13" x14ac:dyDescent="0.25">
      <c r="B35" s="107" t="str">
        <f t="shared" ref="B35:B40" si="12">B22</f>
        <v>Tramo</v>
      </c>
      <c r="C35" s="234">
        <f>MCI!E21</f>
        <v>3</v>
      </c>
      <c r="E35" s="234" t="str">
        <f t="shared" ref="E35:F35" si="13">E22</f>
        <v>C2</v>
      </c>
      <c r="F35" s="27">
        <f t="shared" si="13"/>
        <v>7.0166666666666669E-2</v>
      </c>
      <c r="G35" s="234">
        <f t="shared" si="8"/>
        <v>383.00475</v>
      </c>
      <c r="H35" s="267">
        <f>MCI!E109</f>
        <v>35</v>
      </c>
      <c r="I35" s="135">
        <f>IF(AND(C38=2,C37="P"),T!$I$46,IF(AND(C38=4,C37="P"),T!$I$47,IF(AND(C38=6,C37="P"),T!$I$48,IF(AND(C38=8,C37="P"),T!$I$49,IF(AND(C38=10,C37="P"),T!$I$50,IF(AND(C38=12,C37="P"),T!$I$51,0))))))</f>
        <v>0</v>
      </c>
      <c r="J35" s="135">
        <f>IF(AND(C38=2,C37="L"),T!$J$46,IF(AND(C38=4,C37="L"),T!$J$47,IF(AND(C38=6,C37="L"),T!$J$48,IF(AND(C38=8,C37="L"),T!$J$49,IF(AND(C38=10,C37="L"),T!$J$50,IF(AND(C38=12,C37="L"),T!$J$51,0))))))</f>
        <v>0</v>
      </c>
      <c r="K35" s="135">
        <f>IF(AND(C38=2,C37="M"),T!$K$46,IF(AND(C38=4,C37="M"),T!$K$47,IF(AND(C38=6,C37="M"),T!$K$48,IF(AND(C38=8,C37="M"),T!$K$49,IF(AND(C38=10,C37="M"),T!$K$50,IF(AND(C38=12,C37="M"),T!$K$51,0))))))</f>
        <v>42.09</v>
      </c>
      <c r="L35" s="23">
        <f t="shared" si="9"/>
        <v>13405.16625</v>
      </c>
      <c r="M35" s="23">
        <f t="shared" si="10"/>
        <v>13405.16625</v>
      </c>
    </row>
    <row r="36" spans="2:13" x14ac:dyDescent="0.25">
      <c r="B36" s="107" t="str">
        <f t="shared" si="12"/>
        <v>Longitud (km)</v>
      </c>
      <c r="C36" s="76">
        <f>MCI!E23</f>
        <v>23300</v>
      </c>
      <c r="E36" s="234" t="str">
        <f t="shared" ref="E36:F36" si="14">E23</f>
        <v>C3</v>
      </c>
      <c r="F36" s="27">
        <f t="shared" si="14"/>
        <v>2.0833333333333332E-2</v>
      </c>
      <c r="G36" s="234">
        <f t="shared" si="8"/>
        <v>113.71875</v>
      </c>
      <c r="H36" s="267">
        <f>MCI!E110</f>
        <v>35</v>
      </c>
      <c r="I36" s="135">
        <f>IF(AND(C38=2,C37="P"),T!$I$36,IF(AND(C38=4,C37="P"),T!$I$37,IF(AND(C38=6,C37="P"),T!$I$38,IF(AND(C38=8,C37="P"),T!$I$39,IF(AND(C38=10,C37="P"),T!$I$40,IF(AND(C38=12,C37="P"),T!$I$41,0))))))</f>
        <v>0</v>
      </c>
      <c r="J36" s="135">
        <f>IF(AND(C38=2,C37="L"),T!$J$36,IF(AND(C38=4,C37="L"),T!$J$37,IF(AND(C38=6,C37="L"),T!$J$38,IF(AND(C38=8,C37="L"),T!$J$39,IF(AND(C38=10,C37="L"),T!$J$40,IF(AND(C38=12,C37="L"),T!$J$41,0))))))</f>
        <v>0</v>
      </c>
      <c r="K36" s="135">
        <f>IF(AND(C38=2,C37="M"),T!$K$36,IF(AND(C38=4,C37="M"),T!$K$37,IF(AND(C38=6,C37="M"),T!$K$38,IF(AND(C38=8,C37="M"),T!$K$39,IF(AND(C38=10,C37="M"),T!$K$40,IF(AND(C38=12,C37="M"),T!$K$41,0))))))</f>
        <v>35.380000000000003</v>
      </c>
      <c r="L36" s="23">
        <f t="shared" si="9"/>
        <v>3980.15625</v>
      </c>
      <c r="M36" s="23">
        <f t="shared" si="10"/>
        <v>3980.15625</v>
      </c>
    </row>
    <row r="37" spans="2:13" x14ac:dyDescent="0.25">
      <c r="B37" s="107" t="str">
        <f t="shared" si="12"/>
        <v>Tipo de terreno</v>
      </c>
      <c r="C37" s="121" t="str">
        <f>IF(MCI!E24=LISTA!A2,"P",IF(MCI!E24=LISTA!A3,"L",IF(MCI!E24=LISTA!A4,"M",0)))</f>
        <v>M</v>
      </c>
      <c r="E37" s="234" t="str">
        <f t="shared" ref="E37:F37" si="15">E24</f>
        <v>T3S2</v>
      </c>
      <c r="F37" s="27">
        <f t="shared" si="15"/>
        <v>4.8333333333333339E-2</v>
      </c>
      <c r="G37" s="234">
        <f t="shared" si="8"/>
        <v>263.82750000000004</v>
      </c>
      <c r="H37" s="267">
        <f>MCI!E111</f>
        <v>55</v>
      </c>
      <c r="I37" s="135">
        <f>IF(AND(C38=2,C37="P"),T!$I$26,IF(AND(C38=4,C37="P"),T!$I$27,IF(AND(C38=6,C37="P"),T!$I$28,IF(AND(C38=8,C37="P"),T!$I$29,IF(AND(C38=10,C37="P"),T!$I$30,IF(AND(C38=12,C37="P"),T!$I$31,0))))))</f>
        <v>0</v>
      </c>
      <c r="J37" s="135">
        <f>IF(AND(C38=2,C37="L"),T!$J$26,IF(AND(C38=4,C37="L"),T!$J$27,IF(AND(C38=6,C37="L"),T!$J$28,IF(AND(C38=8,C37="L"),T!$J$29,IF(AND(C38=10,C37="L"),T!$J$30,IF(AND(C38=12,C37="L"),T!$J$31,0))))))</f>
        <v>0</v>
      </c>
      <c r="K37" s="135">
        <f>IF(AND(C38=2,C37="M"),T!$K$26,IF(AND(C38=4,C37="M"),T!$K$27,IF(AND(C38=6,C37="M"),T!$K$28,IF(AND(C38=8,C37="M"),T!$K$29,IF(AND(C38=10,C37="M"),T!$K$30,IF(AND(C38=12,C37="M"),T!$K$31,0))))))</f>
        <v>37.57</v>
      </c>
      <c r="L37" s="23">
        <f t="shared" si="9"/>
        <v>14510.512500000003</v>
      </c>
      <c r="M37" s="23">
        <f t="shared" si="10"/>
        <v>14510.512500000003</v>
      </c>
    </row>
    <row r="38" spans="2:13" x14ac:dyDescent="0.25">
      <c r="B38" s="107" t="str">
        <f t="shared" si="12"/>
        <v>IIR</v>
      </c>
      <c r="C38" s="77">
        <f>MCI!E25</f>
        <v>4</v>
      </c>
      <c r="E38" s="234" t="str">
        <f t="shared" ref="E38:F38" si="16">E25</f>
        <v xml:space="preserve"> T3S3</v>
      </c>
      <c r="F38" s="27">
        <f t="shared" si="16"/>
        <v>1.55E-2</v>
      </c>
      <c r="G38" s="234">
        <f t="shared" si="8"/>
        <v>84.606750000000005</v>
      </c>
      <c r="H38" s="267">
        <f>MCI!E112</f>
        <v>55</v>
      </c>
      <c r="I38" s="135">
        <f>IF(AND(C38=2,C37="P"),T!$I$16,IF(AND(C38=4,C37="P"),T!$I$17,IF(AND(C38=6,C37="P"),T!$I$18,IF(AND(C38=8,C37="P"),T!$I$19,IF(AND(C38=10,C37="P"),T!$I$20,IF(AND(C38=12,C37="P"),T!$I$21,0))))))</f>
        <v>0</v>
      </c>
      <c r="J38" s="135">
        <f>IF(AND(C38=2,C37="L"),T!$J$16,IF(AND(C38=4,C37="L"),T!$J$17,IF(AND(C38=6,C37="L"),T!$J$18,IF(AND(C38=8,C37="L"),T!$J$19,IF(AND(C38=10,C37="L"),T!$J$20,IF(AND(C38=12,C37="L"),T!$J$21,0))))))</f>
        <v>0</v>
      </c>
      <c r="K38" s="135">
        <f>IF(AND(C38=2,C37="M"),T!$K$16,IF(AND(C38=4,C37="M"),T!$K$17,IF(AND(C38=6,C37="M"),T!$K$18,IF(AND(C38=8,C37="M"),T!$K$19,IF(AND(C38=10,C37="M"),T!$K$20,IF(AND(C38=12,C37="M"),T!$K$21,0))))))</f>
        <v>32.21</v>
      </c>
      <c r="L38" s="23">
        <f t="shared" si="9"/>
        <v>4653.3712500000001</v>
      </c>
      <c r="M38" s="23">
        <f t="shared" si="10"/>
        <v>4653.3712500000001</v>
      </c>
    </row>
    <row r="39" spans="2:13" x14ac:dyDescent="0.25">
      <c r="B39" s="107" t="str">
        <f t="shared" si="12"/>
        <v>Descripción</v>
      </c>
      <c r="C39" s="104" t="str">
        <f>MCI!E22</f>
        <v>Atlacomulco - Acambay (40D)</v>
      </c>
      <c r="E39" s="234" t="str">
        <f t="shared" ref="E39:F39" si="17">E26</f>
        <v xml:space="preserve"> T3S2R4</v>
      </c>
      <c r="F39" s="27">
        <f t="shared" si="17"/>
        <v>1.0166666666666666E-2</v>
      </c>
      <c r="G39" s="234">
        <f t="shared" si="8"/>
        <v>55.494749999999996</v>
      </c>
      <c r="H39" s="267">
        <f>MCI!E113</f>
        <v>95</v>
      </c>
      <c r="I39" s="135">
        <f>IF(AND(C38=2,C37="P"),T!$I$6,IF(AND(C38=4,C37="P"),T!$I$7,IF(AND(C38=6,C37="P"),T!$I$8,IF(AND(C38=8,C37="P"),T!$I$9,IF(AND(C38=10,C37="P"),T!$I$10,IF(AND(C38=12,C37="P"),T!$I$11,0))))))</f>
        <v>0</v>
      </c>
      <c r="J39" s="135">
        <f>IF(AND(C38=2,C37="L"),T!$J$6,IF(AND(C38=4,C37="L"),T!$J$7,IF(AND(C38=6,C37="L"),T!$J$8,IF(AND(C38=8,C37="L"),T!$J$9,IF(AND(C38=10,C37="L"),T!$J$10,IF(AND(C38=12,C37="L"),T!$J$11,0))))))</f>
        <v>0</v>
      </c>
      <c r="K39" s="135">
        <f>IF(AND(C38=2,C37="M"),T!$K$6,IF(AND(C38=4,C37="M"),T!$K$7,IF(AND(C38=6,C37="M"),T!$K$8,IF(AND(C38=8,C37="M"),T!$K$9,IF(AND(C38=10,C37="M"),T!$K$10,IF(AND(C38=12,C37="M"),T!$K$11,0))))))</f>
        <v>25.16</v>
      </c>
      <c r="L39" s="23">
        <f t="shared" si="9"/>
        <v>5272.0012499999993</v>
      </c>
      <c r="M39" s="23">
        <f t="shared" si="10"/>
        <v>5272.0012499999993</v>
      </c>
    </row>
    <row r="40" spans="2:13" x14ac:dyDescent="0.25">
      <c r="B40" s="107" t="str">
        <f t="shared" si="12"/>
        <v>TDPARP (vpd)</v>
      </c>
      <c r="C40" s="121">
        <f>C27</f>
        <v>5458.5</v>
      </c>
      <c r="E40" s="234" t="str">
        <f t="shared" ref="E40:F40" si="18">E27</f>
        <v xml:space="preserve"> OTROS</v>
      </c>
      <c r="F40" s="27">
        <f t="shared" si="18"/>
        <v>3.0000000000000768E-3</v>
      </c>
      <c r="G40" s="234">
        <f t="shared" si="8"/>
        <v>16.375500000000418</v>
      </c>
      <c r="H40" s="267">
        <f>MCI!E114</f>
        <v>47.857142857142854</v>
      </c>
      <c r="I40" s="234"/>
      <c r="J40" s="234"/>
      <c r="K40" s="234"/>
      <c r="L40" s="23">
        <f t="shared" si="9"/>
        <v>783.68464285716277</v>
      </c>
      <c r="M40" s="23">
        <f t="shared" si="10"/>
        <v>783.68464285716277</v>
      </c>
    </row>
    <row r="41" spans="2:13" x14ac:dyDescent="0.25">
      <c r="E41" s="19"/>
      <c r="F41" s="43"/>
      <c r="G41" s="19"/>
      <c r="H41" s="44"/>
      <c r="L41" s="229" t="s">
        <v>431</v>
      </c>
      <c r="M41" s="23">
        <f>SUM(M33:M40)</f>
        <v>157997.58214285719</v>
      </c>
    </row>
    <row r="43" spans="2:13" x14ac:dyDescent="0.25">
      <c r="E43" s="234" t="s">
        <v>19</v>
      </c>
      <c r="F43" s="229" t="s">
        <v>24</v>
      </c>
      <c r="G43" s="229" t="s">
        <v>20</v>
      </c>
      <c r="H43" s="237" t="s">
        <v>476</v>
      </c>
      <c r="I43" s="234"/>
      <c r="J43" s="234"/>
      <c r="K43" s="234"/>
      <c r="L43" s="237" t="s">
        <v>477</v>
      </c>
      <c r="M43" s="237" t="s">
        <v>477</v>
      </c>
    </row>
    <row r="44" spans="2:13" x14ac:dyDescent="0.25">
      <c r="E44" s="352" t="s">
        <v>1</v>
      </c>
      <c r="F44" s="234" t="s">
        <v>6</v>
      </c>
      <c r="G44" s="234" t="s">
        <v>7</v>
      </c>
      <c r="H44" s="234" t="s">
        <v>478</v>
      </c>
      <c r="I44" s="234"/>
      <c r="J44" s="234"/>
      <c r="K44" s="234"/>
      <c r="L44" s="234" t="s">
        <v>16</v>
      </c>
      <c r="M44" s="234" t="s">
        <v>16</v>
      </c>
    </row>
    <row r="45" spans="2:13" ht="45" x14ac:dyDescent="0.25">
      <c r="E45" s="352"/>
      <c r="F45" s="233" t="s">
        <v>5</v>
      </c>
      <c r="G45" s="233" t="s">
        <v>3</v>
      </c>
      <c r="H45" s="233" t="s">
        <v>479</v>
      </c>
      <c r="I45" s="234"/>
      <c r="J45" s="234"/>
      <c r="K45" s="234"/>
      <c r="L45" s="233" t="s">
        <v>480</v>
      </c>
      <c r="M45" s="233" t="s">
        <v>480</v>
      </c>
    </row>
    <row r="46" spans="2:13" x14ac:dyDescent="0.25">
      <c r="E46" s="234" t="str">
        <f>E33</f>
        <v>A</v>
      </c>
      <c r="F46" s="27">
        <f>F33</f>
        <v>0.79800000000000004</v>
      </c>
      <c r="G46" s="234">
        <f t="shared" ref="G46:G53" si="19">F46*$C$14</f>
        <v>4355.8829999999998</v>
      </c>
      <c r="H46" s="267">
        <f>MCI!F107</f>
        <v>0</v>
      </c>
      <c r="I46" s="135">
        <f>IF(AND(C51=2,C50="P"),T!$I$66,IF(AND(C51=4,C50="P"),T!$I$67,IF(AND(C51=6,C50="P"),T!$I$68,IF(AND(C51=8,C50="P"),T!$I$69,IF(AND(C51=10,C50="P"),T!$I$70,IF(AND(C51=12,C50="P"),T!$I$71,0))))))</f>
        <v>0</v>
      </c>
      <c r="J46" s="135">
        <f>IF(AND(C51=2,C50="L"),T!$J$66,IF(AND(C51=4,C50="L"),T!$J$67,IF(AND(C51=6,C50="L"),T!$J$68,IF(AND(C51=8,C50="L"),T!$J$69,IF(AND(C51=10,C50="L"),T!$J$70,IF(AND(C51=12,C50="L"),T!$J$71,0))))))</f>
        <v>0</v>
      </c>
      <c r="K46" s="135">
        <f>IF(AND(C51=2,C50="M"),T!$K$66,IF(AND(C51=4,C50="M"),T!$K$67,IF(AND(C51=6,C50="M"),T!$K$68,IF(AND(C51=8,C50="M"),T!$K$69,IF(AND(C51=10,C50="M"),T!$K$70,IF(AND(C51=12,C50="M"),T!$K$71,0))))))</f>
        <v>51.46</v>
      </c>
      <c r="L46" s="23">
        <f t="shared" ref="L46:L53" si="20">H46*G46</f>
        <v>0</v>
      </c>
      <c r="M46" s="23">
        <f t="shared" ref="M46:M53" si="21">H46*G46</f>
        <v>0</v>
      </c>
    </row>
    <row r="47" spans="2:13" x14ac:dyDescent="0.25">
      <c r="E47" s="234" t="str">
        <f t="shared" ref="E47:F47" si="22">E34</f>
        <v xml:space="preserve"> B</v>
      </c>
      <c r="F47" s="27">
        <f t="shared" si="22"/>
        <v>3.4000000000000002E-2</v>
      </c>
      <c r="G47" s="234">
        <f t="shared" si="19"/>
        <v>185.58900000000003</v>
      </c>
      <c r="H47" s="267">
        <f>MCI!F108</f>
        <v>0</v>
      </c>
      <c r="I47" s="135">
        <f>IF(AND(C51=2,C50="P"),T!$I$56,IF(AND(C51=4,C50="P"),T!$I$57,IF(AND(C51=6,C50="P"),T!$I$58,IF(AND(C51=8,C50="P"),T!$I$59,IF(AND(C51=10,C50="P"),T!$I$60,IF(AND(C51=12,C50="P"),T!$I$61,0))))))</f>
        <v>0</v>
      </c>
      <c r="J47" s="135">
        <f>IF(AND(C51=2,C50="L"),T!$J$56,IF(AND(C51=4,C50="L"),T!$J$57,IF(AND(C51=6,C50="L"),T!$J$58,IF(AND(C51=8,C50="L"),T!$J$59,IF(AND(C51=10,C50="L"),T!$J$60,IF(AND(C51=12,C50="L"),T!$J$61,0))))))</f>
        <v>0</v>
      </c>
      <c r="K47" s="135">
        <f>IF(AND(C51=2,C50="M"),T!$K$56,IF(AND(C51=4,C50="M"),T!$K$57,IF(AND(C51=6,C50="M"),T!$K$58,IF(AND(C51=8,C50="M"),T!$K$59,IF(AND(C51=10,C50="M"),T!$K$60,IF(AND(C51=12,C50="M"),T!$K$61,0))))))</f>
        <v>47.52</v>
      </c>
      <c r="L47" s="23">
        <f t="shared" si="20"/>
        <v>0</v>
      </c>
      <c r="M47" s="23">
        <f t="shared" si="21"/>
        <v>0</v>
      </c>
    </row>
    <row r="48" spans="2:13" x14ac:dyDescent="0.25">
      <c r="B48" s="107" t="str">
        <f t="shared" ref="B48:B53" si="23">B35</f>
        <v>Tramo</v>
      </c>
      <c r="C48" s="234">
        <f>MCI!F21</f>
        <v>4</v>
      </c>
      <c r="E48" s="234" t="str">
        <f t="shared" ref="E48:F48" si="24">E35</f>
        <v>C2</v>
      </c>
      <c r="F48" s="27">
        <f t="shared" si="24"/>
        <v>7.0166666666666669E-2</v>
      </c>
      <c r="G48" s="234">
        <f t="shared" si="19"/>
        <v>383.00475</v>
      </c>
      <c r="H48" s="267">
        <f>MCI!F109</f>
        <v>0</v>
      </c>
      <c r="I48" s="135">
        <f>IF(AND(C51=2,C50="P"),T!$I$46,IF(AND(C51=4,C50="P"),T!$I$47,IF(AND(C51=6,C50="P"),T!$I$48,IF(AND(C51=8,C50="P"),T!$I$49,IF(AND(C51=10,C50="P"),T!$I$50,IF(AND(C51=12,C50="P"),T!$I$51,0))))))</f>
        <v>0</v>
      </c>
      <c r="J48" s="135">
        <f>IF(AND(C51=2,C50="L"),T!$J$46,IF(AND(C51=4,C50="L"),T!$J$47,IF(AND(C51=6,C50="L"),T!$J$48,IF(AND(C51=8,C50="L"),T!$J$49,IF(AND(C51=10,C50="L"),T!$J$50,IF(AND(C51=12,C50="L"),T!$J$51,0))))))</f>
        <v>0</v>
      </c>
      <c r="K48" s="135">
        <f>IF(AND(C51=2,C50="M"),T!$K$46,IF(AND(C51=4,C50="M"),T!$K$47,IF(AND(C51=6,C50="M"),T!$K$48,IF(AND(C51=8,C50="M"),T!$K$49,IF(AND(C51=10,C50="M"),T!$K$50,IF(AND(C51=12,C50="M"),T!$K$51,0))))))</f>
        <v>42.09</v>
      </c>
      <c r="L48" s="23">
        <f t="shared" si="20"/>
        <v>0</v>
      </c>
      <c r="M48" s="23">
        <f t="shared" si="21"/>
        <v>0</v>
      </c>
    </row>
    <row r="49" spans="2:13" x14ac:dyDescent="0.25">
      <c r="B49" s="107" t="str">
        <f t="shared" si="23"/>
        <v>Longitud (km)</v>
      </c>
      <c r="C49" s="76">
        <f>MCI!F23</f>
        <v>53900</v>
      </c>
      <c r="E49" s="234" t="str">
        <f t="shared" ref="E49:F49" si="25">E36</f>
        <v>C3</v>
      </c>
      <c r="F49" s="27">
        <f t="shared" si="25"/>
        <v>2.0833333333333332E-2</v>
      </c>
      <c r="G49" s="234">
        <f t="shared" si="19"/>
        <v>113.71875</v>
      </c>
      <c r="H49" s="267">
        <f>MCI!F110</f>
        <v>0</v>
      </c>
      <c r="I49" s="135">
        <f>IF(AND(C51=2,C50="P"),T!$I$36,IF(AND(C51=4,C50="P"),T!$I$37,IF(AND(C51=6,C50="P"),T!$I$38,IF(AND(C51=8,C50="P"),T!$I$39,IF(AND(C51=10,C50="P"),T!$I$40,IF(AND(C51=12,C50="P"),T!$I$41,0))))))</f>
        <v>0</v>
      </c>
      <c r="J49" s="135">
        <f>IF(AND(C51=2,C50="L"),T!$J$36,IF(AND(C51=4,C50="L"),T!$J$37,IF(AND(C51=6,C50="L"),T!$J$38,IF(AND(C51=8,C50="L"),T!$J$39,IF(AND(C51=10,C50="L"),T!$J$40,IF(AND(C51=12,C50="L"),T!$J$41,0))))))</f>
        <v>0</v>
      </c>
      <c r="K49" s="135">
        <f>IF(AND(C51=2,C50="M"),T!$K$36,IF(AND(C51=4,C50="M"),T!$K$37,IF(AND(C51=6,C50="M"),T!$K$38,IF(AND(C51=8,C50="M"),T!$K$39,IF(AND(C51=10,C50="M"),T!$K$40,IF(AND(C51=12,C50="M"),T!$K$41,0))))))</f>
        <v>35.380000000000003</v>
      </c>
      <c r="L49" s="23">
        <f t="shared" si="20"/>
        <v>0</v>
      </c>
      <c r="M49" s="23">
        <f t="shared" si="21"/>
        <v>0</v>
      </c>
    </row>
    <row r="50" spans="2:13" x14ac:dyDescent="0.25">
      <c r="B50" s="107" t="str">
        <f t="shared" si="23"/>
        <v>Tipo de terreno</v>
      </c>
      <c r="C50" s="121" t="str">
        <f>IF(MCI!F24=LISTA!A2,"P",IF(MCI!F24=LISTA!A3,"L",IF(MCI!F24=LISTA!A4,"M",0)))</f>
        <v>M</v>
      </c>
      <c r="E50" s="234" t="str">
        <f t="shared" ref="E50:F50" si="26">E37</f>
        <v>T3S2</v>
      </c>
      <c r="F50" s="27">
        <f t="shared" si="26"/>
        <v>4.8333333333333339E-2</v>
      </c>
      <c r="G50" s="234">
        <f t="shared" si="19"/>
        <v>263.82750000000004</v>
      </c>
      <c r="H50" s="267">
        <f>MCI!F111</f>
        <v>0</v>
      </c>
      <c r="I50" s="135">
        <f>IF(AND(C51=2,C50="P"),T!$I$26,IF(AND(C51=4,C50="P"),T!$I$27,IF(AND(C51=6,C50="P"),T!$I$28,IF(AND(C51=8,C50="P"),T!$I$29,IF(AND(C51=10,C50="P"),T!$I$30,IF(AND(C51=12,C50="P"),T!$I$31,0))))))</f>
        <v>0</v>
      </c>
      <c r="J50" s="135">
        <f>IF(AND(C51=2,C50="L"),T!$J$26,IF(AND(C51=4,C50="L"),T!$J$27,IF(AND(C51=6,C50="L"),T!$J$28,IF(AND(C51=8,C50="L"),T!$J$29,IF(AND(C51=10,C50="L"),T!$J$30,IF(AND(C51=12,C50="L"),T!$J$31,0))))))</f>
        <v>0</v>
      </c>
      <c r="K50" s="135">
        <f>IF(AND(C51=2,C50="M"),T!$K$26,IF(AND(C51=4,C50="M"),T!$K$27,IF(AND(C51=6,C50="M"),T!$K$28,IF(AND(C51=8,C50="M"),T!$K$29,IF(AND(C51=10,C50="M"),T!$K$30,IF(AND(C51=12,C50="M"),T!$K$31,0))))))</f>
        <v>37.57</v>
      </c>
      <c r="L50" s="23">
        <f t="shared" si="20"/>
        <v>0</v>
      </c>
      <c r="M50" s="23">
        <f t="shared" si="21"/>
        <v>0</v>
      </c>
    </row>
    <row r="51" spans="2:13" x14ac:dyDescent="0.25">
      <c r="B51" s="107" t="str">
        <f t="shared" si="23"/>
        <v>IIR</v>
      </c>
      <c r="C51" s="77">
        <f>MCI!F25</f>
        <v>4</v>
      </c>
      <c r="E51" s="234" t="str">
        <f t="shared" ref="E51:F51" si="27">E38</f>
        <v xml:space="preserve"> T3S3</v>
      </c>
      <c r="F51" s="27">
        <f t="shared" si="27"/>
        <v>1.55E-2</v>
      </c>
      <c r="G51" s="234">
        <f t="shared" si="19"/>
        <v>84.606750000000005</v>
      </c>
      <c r="H51" s="267">
        <f>MCI!F112</f>
        <v>0</v>
      </c>
      <c r="I51" s="135">
        <f>IF(AND(C51=2,C50="P"),T!$I$16,IF(AND(C51=4,C50="P"),T!$I$17,IF(AND(C51=6,C50="P"),T!$I$18,IF(AND(C51=8,C50="P"),T!$I$19,IF(AND(C51=10,C50="P"),T!$I$20,IF(AND(C51=12,C50="P"),T!$I$21,0))))))</f>
        <v>0</v>
      </c>
      <c r="J51" s="135">
        <f>IF(AND(C51=2,C50="L"),T!$J$16,IF(AND(C51=4,C50="L"),T!$J$17,IF(AND(C51=6,C50="L"),T!$J$18,IF(AND(C51=8,C50="L"),T!$J$19,IF(AND(C51=10,C50="L"),T!$J$20,IF(AND(C51=12,C50="L"),T!$J$21,0))))))</f>
        <v>0</v>
      </c>
      <c r="K51" s="135">
        <f>IF(AND(C51=2,C50="M"),T!$K$16,IF(AND(C51=4,C50="M"),T!$K$17,IF(AND(C51=6,C50="M"),T!$K$18,IF(AND(C51=8,C50="M"),T!$K$19,IF(AND(C51=10,C50="M"),T!$K$20,IF(AND(C51=12,C50="M"),T!$K$21,0))))))</f>
        <v>32.21</v>
      </c>
      <c r="L51" s="23">
        <f t="shared" si="20"/>
        <v>0</v>
      </c>
      <c r="M51" s="23">
        <f t="shared" si="21"/>
        <v>0</v>
      </c>
    </row>
    <row r="52" spans="2:13" x14ac:dyDescent="0.25">
      <c r="B52" s="107" t="str">
        <f t="shared" si="23"/>
        <v>Descripción</v>
      </c>
      <c r="C52" s="104" t="str">
        <f>MCI!F22</f>
        <v>Acambay - Palmillas (57)</v>
      </c>
      <c r="E52" s="234" t="str">
        <f t="shared" ref="E52:F52" si="28">E39</f>
        <v xml:space="preserve"> T3S2R4</v>
      </c>
      <c r="F52" s="27">
        <f t="shared" si="28"/>
        <v>1.0166666666666666E-2</v>
      </c>
      <c r="G52" s="234">
        <f t="shared" si="19"/>
        <v>55.494749999999996</v>
      </c>
      <c r="H52" s="267">
        <f>MCI!F113</f>
        <v>0</v>
      </c>
      <c r="I52" s="135">
        <f>IF(AND(C51=2,C50="P"),T!$I$6,IF(AND(C51=4,C50="P"),T!$I$7,IF(AND(C51=6,C50="P"),T!$I$8,IF(AND(C51=8,C50="P"),T!$I$9,IF(AND(C51=10,C50="P"),T!$I$10,IF(AND(C51=12,C50="P"),T!$I$11,0))))))</f>
        <v>0</v>
      </c>
      <c r="J52" s="135">
        <f>IF(AND(C51=2,C50="L"),T!$J$6,IF(AND(C51=4,C50="L"),T!$J$7,IF(AND(C51=6,C50="L"),T!$J$8,IF(AND(C51=8,C50="L"),T!$J$9,IF(AND(C51=10,C50="L"),T!$J$10,IF(AND(C51=12,C50="L"),T!$J$11,0))))))</f>
        <v>0</v>
      </c>
      <c r="K52" s="135">
        <f>IF(AND(C51=2,C50="M"),T!$K$6,IF(AND(C51=4,C50="M"),T!$K$7,IF(AND(C51=6,C50="M"),T!$K$8,IF(AND(C51=8,C50="M"),T!$K$9,IF(AND(C51=10,C50="M"),T!$K$10,IF(AND(C51=12,C50="M"),T!$K$11,0))))))</f>
        <v>25.16</v>
      </c>
      <c r="L52" s="23">
        <f t="shared" si="20"/>
        <v>0</v>
      </c>
      <c r="M52" s="23">
        <f t="shared" si="21"/>
        <v>0</v>
      </c>
    </row>
    <row r="53" spans="2:13" x14ac:dyDescent="0.25">
      <c r="B53" s="107" t="str">
        <f t="shared" si="23"/>
        <v>TDPARP (vpd)</v>
      </c>
      <c r="C53" s="121">
        <f>C40</f>
        <v>5458.5</v>
      </c>
      <c r="E53" s="234" t="str">
        <f t="shared" ref="E53:F53" si="29">E40</f>
        <v xml:space="preserve"> OTROS</v>
      </c>
      <c r="F53" s="27">
        <f t="shared" si="29"/>
        <v>3.0000000000000768E-3</v>
      </c>
      <c r="G53" s="234">
        <f t="shared" si="19"/>
        <v>16.375500000000418</v>
      </c>
      <c r="H53" s="267">
        <f>MCI!F114</f>
        <v>0</v>
      </c>
      <c r="I53" s="234"/>
      <c r="J53" s="234"/>
      <c r="K53" s="234"/>
      <c r="L53" s="23">
        <f t="shared" si="20"/>
        <v>0</v>
      </c>
      <c r="M53" s="23">
        <f t="shared" si="21"/>
        <v>0</v>
      </c>
    </row>
    <row r="54" spans="2:13" x14ac:dyDescent="0.25">
      <c r="E54" s="19"/>
      <c r="F54" s="43"/>
      <c r="G54" s="19"/>
      <c r="H54" s="44"/>
      <c r="L54" s="229" t="s">
        <v>431</v>
      </c>
      <c r="M54" s="23">
        <f>SUM(M46:M53)</f>
        <v>0</v>
      </c>
    </row>
    <row r="56" spans="2:13" x14ac:dyDescent="0.25">
      <c r="E56" s="234" t="s">
        <v>19</v>
      </c>
      <c r="F56" s="229" t="s">
        <v>24</v>
      </c>
      <c r="G56" s="229" t="s">
        <v>20</v>
      </c>
      <c r="H56" s="237" t="s">
        <v>476</v>
      </c>
      <c r="I56" s="234"/>
      <c r="J56" s="234"/>
      <c r="K56" s="234"/>
      <c r="L56" s="237" t="s">
        <v>477</v>
      </c>
      <c r="M56" s="237" t="s">
        <v>477</v>
      </c>
    </row>
    <row r="57" spans="2:13" x14ac:dyDescent="0.25">
      <c r="E57" s="352" t="s">
        <v>1</v>
      </c>
      <c r="F57" s="234" t="s">
        <v>6</v>
      </c>
      <c r="G57" s="234" t="s">
        <v>7</v>
      </c>
      <c r="H57" s="234" t="s">
        <v>478</v>
      </c>
      <c r="I57" s="234"/>
      <c r="J57" s="234"/>
      <c r="K57" s="234"/>
      <c r="L57" s="234" t="s">
        <v>16</v>
      </c>
      <c r="M57" s="234" t="s">
        <v>16</v>
      </c>
    </row>
    <row r="58" spans="2:13" ht="45" x14ac:dyDescent="0.25">
      <c r="E58" s="352"/>
      <c r="F58" s="233" t="s">
        <v>5</v>
      </c>
      <c r="G58" s="233" t="s">
        <v>3</v>
      </c>
      <c r="H58" s="233" t="s">
        <v>479</v>
      </c>
      <c r="I58" s="234"/>
      <c r="J58" s="234"/>
      <c r="K58" s="234"/>
      <c r="L58" s="233" t="s">
        <v>480</v>
      </c>
      <c r="M58" s="233" t="s">
        <v>480</v>
      </c>
    </row>
    <row r="59" spans="2:13" x14ac:dyDescent="0.25">
      <c r="E59" s="234" t="str">
        <f>E46</f>
        <v>A</v>
      </c>
      <c r="F59" s="27">
        <f>F46</f>
        <v>0.79800000000000004</v>
      </c>
      <c r="G59" s="234">
        <f t="shared" ref="G59:G66" si="30">F59*$C$14</f>
        <v>4355.8829999999998</v>
      </c>
      <c r="H59" s="267">
        <f>MCI!G107</f>
        <v>34</v>
      </c>
      <c r="I59" s="135">
        <f>IF(AND(C64=2,C63="P"),T!$I$66,IF(AND(C64=4,C63="P"),T!$I$67,IF(AND(C64=6,C63="P"),T!$I$68,IF(AND(C64=8,C63="P"),T!$I$69,IF(AND(C64=10,C63="P"),T!$I$70,IF(AND(C64=12,C63="P"),T!$I$71,0))))))</f>
        <v>0</v>
      </c>
      <c r="J59" s="135">
        <f>IF(AND(C64=2,C63="L"),T!$J$66,IF(AND(C64=4,C63="L"),T!$J$67,IF(AND(C64=6,C63="L"),T!$J$68,IF(AND(C64=8,C63="L"),T!$J$69,IF(AND(C64=10,C63="L"),T!$J$70,IF(AND(C64=12,C63="L"),T!$J$71,0))))))</f>
        <v>60.9</v>
      </c>
      <c r="K59" s="135">
        <f>IF(AND(C64=2,C63="M"),T!$K$66,IF(AND(C64=4,C63="M"),T!$K$67,IF(AND(C64=6,C63="M"),T!$K$68,IF(AND(C64=8,C63="M"),T!$K$69,IF(AND(C64=10,C63="M"),T!$K$70,IF(AND(C64=12,C63="M"),T!$K$71,0))))))</f>
        <v>0</v>
      </c>
      <c r="L59" s="23">
        <f t="shared" ref="L59:L66" si="31">H59*G59</f>
        <v>148100.022</v>
      </c>
      <c r="M59" s="23">
        <f t="shared" ref="M59:M66" si="32">H59*G59</f>
        <v>148100.022</v>
      </c>
    </row>
    <row r="60" spans="2:13" x14ac:dyDescent="0.25">
      <c r="E60" s="234" t="str">
        <f t="shared" ref="E60:F60" si="33">E47</f>
        <v xml:space="preserve"> B</v>
      </c>
      <c r="F60" s="27">
        <f t="shared" si="33"/>
        <v>3.4000000000000002E-2</v>
      </c>
      <c r="G60" s="234">
        <f t="shared" si="30"/>
        <v>185.58900000000003</v>
      </c>
      <c r="H60" s="267">
        <f>MCI!G108</f>
        <v>81.5</v>
      </c>
      <c r="I60" s="135">
        <f>IF(AND(C64=2,C63="P"),T!$I$56,IF(AND(C64=4,C63="P"),T!$I$57,IF(AND(C64=6,C63="P"),T!$I$58,IF(AND(C64=8,C63="P"),T!$I$59,IF(AND(C64=10,C63="P"),T!$I$60,IF(AND(C64=12,C63="P"),T!$I$61,0))))))</f>
        <v>0</v>
      </c>
      <c r="J60" s="135">
        <f>IF(AND(C64=2,C63="L"),T!$J$56,IF(AND(C64=4,C63="L"),T!$J$57,IF(AND(C64=6,C63="L"),T!$J$58,IF(AND(C64=8,C63="L"),T!$J$59,IF(AND(C64=10,C63="L"),T!$J$60,IF(AND(C64=12,C63="L"),T!$J$61,0))))))</f>
        <v>57.38</v>
      </c>
      <c r="K60" s="135">
        <f>IF(AND(C64=2,C63="M"),T!$K$56,IF(AND(C64=4,C63="M"),T!$K$57,IF(AND(C64=6,C63="M"),T!$K$58,IF(AND(C64=8,C63="M"),T!$K$59,IF(AND(C64=10,C63="M"),T!$K$60,IF(AND(C64=12,C63="M"),T!$K$61,0))))))</f>
        <v>0</v>
      </c>
      <c r="L60" s="23">
        <f t="shared" si="31"/>
        <v>15125.503500000003</v>
      </c>
      <c r="M60" s="23">
        <f t="shared" si="32"/>
        <v>15125.503500000003</v>
      </c>
    </row>
    <row r="61" spans="2:13" x14ac:dyDescent="0.25">
      <c r="B61" s="107" t="str">
        <f t="shared" ref="B61:B66" si="34">B48</f>
        <v>Tramo</v>
      </c>
      <c r="C61" s="234">
        <f>MCI!G21</f>
        <v>5</v>
      </c>
      <c r="E61" s="234" t="str">
        <f t="shared" ref="E61:F61" si="35">E48</f>
        <v>C2</v>
      </c>
      <c r="F61" s="27">
        <f t="shared" si="35"/>
        <v>7.0166666666666669E-2</v>
      </c>
      <c r="G61" s="234">
        <f t="shared" si="30"/>
        <v>383.00475</v>
      </c>
      <c r="H61" s="267">
        <f>MCI!G109</f>
        <v>41</v>
      </c>
      <c r="I61" s="135">
        <f>IF(AND(C64=2,C63="P"),T!$I$46,IF(AND(C64=4,C63="P"),T!$I$47,IF(AND(C64=6,C63="P"),T!$I$48,IF(AND(C64=8,C63="P"),T!$I$49,IF(AND(C64=10,C63="P"),T!$I$50,IF(AND(C64=12,C63="P"),T!$I$51,0))))))</f>
        <v>0</v>
      </c>
      <c r="J61" s="135">
        <f>IF(AND(C64=2,C63="L"),T!$J$46,IF(AND(C64=4,C63="L"),T!$J$47,IF(AND(C64=6,C63="L"),T!$J$48,IF(AND(C64=8,C63="L"),T!$J$49,IF(AND(C64=10,C63="L"),T!$J$50,IF(AND(C64=12,C63="L"),T!$J$51,0))))))</f>
        <v>48.37</v>
      </c>
      <c r="K61" s="135">
        <f>IF(AND(C64=2,C63="M"),T!$K$46,IF(AND(C64=4,C63="M"),T!$K$47,IF(AND(C64=6,C63="M"),T!$K$48,IF(AND(C64=8,C63="M"),T!$K$49,IF(AND(C64=10,C63="M"),T!$K$50,IF(AND(C64=12,C63="M"),T!$K$51,0))))))</f>
        <v>0</v>
      </c>
      <c r="L61" s="23">
        <f t="shared" si="31"/>
        <v>15703.194750000001</v>
      </c>
      <c r="M61" s="23">
        <f t="shared" si="32"/>
        <v>15703.194750000001</v>
      </c>
    </row>
    <row r="62" spans="2:13" x14ac:dyDescent="0.25">
      <c r="B62" s="107" t="str">
        <f t="shared" si="34"/>
        <v>Longitud (km)</v>
      </c>
      <c r="C62" s="76">
        <f>MCI!G23</f>
        <v>83100</v>
      </c>
      <c r="E62" s="234" t="str">
        <f t="shared" ref="E62:F62" si="36">E49</f>
        <v>C3</v>
      </c>
      <c r="F62" s="27">
        <f t="shared" si="36"/>
        <v>2.0833333333333332E-2</v>
      </c>
      <c r="G62" s="234">
        <f t="shared" si="30"/>
        <v>113.71875</v>
      </c>
      <c r="H62" s="267">
        <f>MCI!G110</f>
        <v>71</v>
      </c>
      <c r="I62" s="135">
        <f>IF(AND(C64=2,C63="P"),T!$I$36,IF(AND(C64=4,C63="P"),T!$I$37,IF(AND(C64=6,C63="P"),T!$I$38,IF(AND(C64=8,C63="P"),T!$I$39,IF(AND(C64=10,C63="P"),T!$I$40,IF(AND(C64=12,C63="P"),T!$I$41,0))))))</f>
        <v>0</v>
      </c>
      <c r="J62" s="135">
        <f>IF(AND(C64=2,C63="L"),T!$J$36,IF(AND(C64=4,C63="L"),T!$J$37,IF(AND(C64=6,C63="L"),T!$J$38,IF(AND(C64=8,C63="L"),T!$J$39,IF(AND(C64=10,C63="L"),T!$J$40,IF(AND(C64=12,C63="L"),T!$J$41,0))))))</f>
        <v>42.88</v>
      </c>
      <c r="K62" s="135">
        <f>IF(AND(C64=2,C63="M"),T!$K$36,IF(AND(C64=4,C63="M"),T!$K$37,IF(AND(C64=6,C63="M"),T!$K$38,IF(AND(C64=8,C63="M"),T!$K$39,IF(AND(C64=10,C63="M"),T!$K$40,IF(AND(C64=12,C63="M"),T!$K$41,0))))))</f>
        <v>0</v>
      </c>
      <c r="L62" s="23">
        <f t="shared" si="31"/>
        <v>8074.03125</v>
      </c>
      <c r="M62" s="23">
        <f t="shared" si="32"/>
        <v>8074.03125</v>
      </c>
    </row>
    <row r="63" spans="2:13" x14ac:dyDescent="0.25">
      <c r="B63" s="107" t="str">
        <f t="shared" si="34"/>
        <v>Tipo de terreno</v>
      </c>
      <c r="C63" s="121" t="str">
        <f>IF(MCI!G24=LISTA!A2,"P",IF(MCI!G24=LISTA!A3,"L",IF(MCI!G24=LISTA!A4,"M",0)))</f>
        <v>L</v>
      </c>
      <c r="E63" s="234" t="str">
        <f t="shared" ref="E63:F63" si="37">E50</f>
        <v>T3S2</v>
      </c>
      <c r="F63" s="27">
        <f t="shared" si="37"/>
        <v>4.8333333333333339E-2</v>
      </c>
      <c r="G63" s="234">
        <f t="shared" si="30"/>
        <v>263.82750000000004</v>
      </c>
      <c r="H63" s="267">
        <f>MCI!G111</f>
        <v>125</v>
      </c>
      <c r="I63" s="135">
        <f>IF(AND(C64=2,C63="P"),T!$I$26,IF(AND(C64=4,C63="P"),T!$I$27,IF(AND(C64=6,C63="P"),T!$I$28,IF(AND(C64=8,C63="P"),T!$I$29,IF(AND(C64=10,C63="P"),T!$I$30,IF(AND(C64=12,C63="P"),T!$I$31,0))))))</f>
        <v>0</v>
      </c>
      <c r="J63" s="135">
        <f>IF(AND(C64=2,C63="L"),T!$J$26,IF(AND(C64=4,C63="L"),T!$J$27,IF(AND(C64=6,C63="L"),T!$J$28,IF(AND(C64=8,C63="L"),T!$J$29,IF(AND(C64=10,C63="L"),T!$J$30,IF(AND(C64=12,C63="L"),T!$J$31,0))))))</f>
        <v>42.9</v>
      </c>
      <c r="K63" s="135">
        <f>IF(AND(C64=2,C63="M"),T!$K$26,IF(AND(C64=4,C63="M"),T!$K$27,IF(AND(C64=6,C63="M"),T!$K$28,IF(AND(C64=8,C63="M"),T!$K$29,IF(AND(C64=10,C63="M"),T!$K$30,IF(AND(C64=12,C63="M"),T!$K$31,0))))))</f>
        <v>0</v>
      </c>
      <c r="L63" s="23">
        <f t="shared" si="31"/>
        <v>32978.437500000007</v>
      </c>
      <c r="M63" s="23">
        <f t="shared" si="32"/>
        <v>32978.437500000007</v>
      </c>
    </row>
    <row r="64" spans="2:13" x14ac:dyDescent="0.25">
      <c r="B64" s="107" t="str">
        <f t="shared" si="34"/>
        <v>IIR</v>
      </c>
      <c r="C64" s="77">
        <f>MCI!G25</f>
        <v>8</v>
      </c>
      <c r="E64" s="234" t="str">
        <f t="shared" ref="E64:F64" si="38">E51</f>
        <v xml:space="preserve"> T3S3</v>
      </c>
      <c r="F64" s="27">
        <f t="shared" si="38"/>
        <v>1.55E-2</v>
      </c>
      <c r="G64" s="234">
        <f t="shared" si="30"/>
        <v>84.606750000000005</v>
      </c>
      <c r="H64" s="267">
        <f>MCI!G112</f>
        <v>155</v>
      </c>
      <c r="I64" s="135">
        <f>IF(AND(C64=2,C63="P"),T!$I$16,IF(AND(C64=4,C63="P"),T!$I$17,IF(AND(C64=6,C63="P"),T!$I$18,IF(AND(C64=8,C63="P"),T!$I$19,IF(AND(C64=10,C63="P"),T!$I$20,IF(AND(C64=12,C63="P"),T!$I$21,0))))))</f>
        <v>0</v>
      </c>
      <c r="J64" s="135">
        <f>IF(AND(C64=2,C63="L"),T!$J$16,IF(AND(C64=4,C63="L"),T!$J$17,IF(AND(C64=6,C63="L"),T!$J$18,IF(AND(C64=8,C63="L"),T!$J$19,IF(AND(C64=10,C63="L"),T!$J$20,IF(AND(C64=12,C63="L"),T!$J$21,0))))))</f>
        <v>38.799999999999997</v>
      </c>
      <c r="K64" s="135">
        <f>IF(AND(C64=2,C63="M"),T!$K$16,IF(AND(C64=4,C63="M"),T!$K$17,IF(AND(C64=6,C63="M"),T!$K$18,IF(AND(C64=8,C63="M"),T!$K$19,IF(AND(C64=10,C63="M"),T!$K$20,IF(AND(C64=12,C63="M"),T!$K$21,0))))))</f>
        <v>0</v>
      </c>
      <c r="L64" s="23">
        <f t="shared" si="31"/>
        <v>13114.046250000001</v>
      </c>
      <c r="M64" s="23">
        <f t="shared" si="32"/>
        <v>13114.046250000001</v>
      </c>
    </row>
    <row r="65" spans="2:13" x14ac:dyDescent="0.25">
      <c r="B65" s="107" t="str">
        <f t="shared" si="34"/>
        <v>Descripción</v>
      </c>
      <c r="C65" s="104" t="str">
        <f>MCI!G22</f>
        <v>Toluca - Jilotepec (57)</v>
      </c>
      <c r="E65" s="234" t="str">
        <f t="shared" ref="E65:F65" si="39">E52</f>
        <v xml:space="preserve"> T3S2R4</v>
      </c>
      <c r="F65" s="27">
        <f t="shared" si="39"/>
        <v>1.0166666666666666E-2</v>
      </c>
      <c r="G65" s="234">
        <f t="shared" si="30"/>
        <v>55.494749999999996</v>
      </c>
      <c r="H65" s="267">
        <f>MCI!G113</f>
        <v>227</v>
      </c>
      <c r="I65" s="135">
        <f>IF(AND(C64=2,C63="P"),T!$I$6,IF(AND(C64=4,C63="P"),T!$I$7,IF(AND(C64=6,C63="P"),T!$I$8,IF(AND(C64=8,C63="P"),T!$I$9,IF(AND(C64=10,C63="P"),T!$I$10,IF(AND(C64=12,C63="P"),T!$I$11,0))))))</f>
        <v>0</v>
      </c>
      <c r="J65" s="135">
        <f>IF(AND(C64=2,C63="L"),T!$J$6,IF(AND(C64=4,C63="L"),T!$J$7,IF(AND(C64=6,C63="L"),T!$J$8,IF(AND(C64=8,C63="L"),T!$J$9,IF(AND(C64=10,C63="L"),T!$J$10,IF(AND(C64=12,C63="L"),T!$J$11,0))))))</f>
        <v>31.77</v>
      </c>
      <c r="K65" s="135">
        <f>IF(AND(C64=2,C63="M"),T!$K$6,IF(AND(C64=4,C63="M"),T!$K$7,IF(AND(C64=6,C63="M"),T!$K$8,IF(AND(C64=8,C63="M"),T!$K$9,IF(AND(C64=10,C63="M"),T!$K$10,IF(AND(C64=12,C63="M"),T!$K$11,0))))))</f>
        <v>0</v>
      </c>
      <c r="L65" s="23">
        <f t="shared" si="31"/>
        <v>12597.30825</v>
      </c>
      <c r="M65" s="23">
        <f t="shared" si="32"/>
        <v>12597.30825</v>
      </c>
    </row>
    <row r="66" spans="2:13" x14ac:dyDescent="0.25">
      <c r="B66" s="107" t="str">
        <f t="shared" si="34"/>
        <v>TDPARP (vpd)</v>
      </c>
      <c r="C66" s="121">
        <f>C53</f>
        <v>5458.5</v>
      </c>
      <c r="E66" s="234" t="str">
        <f t="shared" ref="E66:F66" si="40">E53</f>
        <v xml:space="preserve"> OTROS</v>
      </c>
      <c r="F66" s="27">
        <f t="shared" si="40"/>
        <v>3.0000000000000768E-3</v>
      </c>
      <c r="G66" s="234">
        <f t="shared" si="30"/>
        <v>16.375500000000418</v>
      </c>
      <c r="H66" s="267">
        <f>MCI!G114</f>
        <v>104.92857142857143</v>
      </c>
      <c r="I66" s="234"/>
      <c r="J66" s="234"/>
      <c r="K66" s="234"/>
      <c r="L66" s="23">
        <f t="shared" si="31"/>
        <v>1718.2578214286152</v>
      </c>
      <c r="M66" s="23">
        <f t="shared" si="32"/>
        <v>1718.2578214286152</v>
      </c>
    </row>
    <row r="67" spans="2:13" x14ac:dyDescent="0.25">
      <c r="E67" s="19"/>
      <c r="F67" s="43"/>
      <c r="G67" s="19"/>
      <c r="H67" s="44"/>
      <c r="L67" s="229" t="s">
        <v>431</v>
      </c>
      <c r="M67" s="23">
        <f>SUM(M59:M66)</f>
        <v>247410.80132142862</v>
      </c>
    </row>
    <row r="69" spans="2:13" x14ac:dyDescent="0.25">
      <c r="E69" s="234" t="s">
        <v>19</v>
      </c>
      <c r="F69" s="229" t="s">
        <v>24</v>
      </c>
      <c r="G69" s="229" t="s">
        <v>20</v>
      </c>
      <c r="H69" s="237" t="s">
        <v>476</v>
      </c>
      <c r="I69" s="234"/>
      <c r="J69" s="234"/>
      <c r="K69" s="234"/>
      <c r="L69" s="237" t="s">
        <v>477</v>
      </c>
      <c r="M69" s="237" t="s">
        <v>477</v>
      </c>
    </row>
    <row r="70" spans="2:13" x14ac:dyDescent="0.25">
      <c r="E70" s="352" t="s">
        <v>1</v>
      </c>
      <c r="F70" s="234" t="s">
        <v>6</v>
      </c>
      <c r="G70" s="234" t="s">
        <v>7</v>
      </c>
      <c r="H70" s="234" t="s">
        <v>478</v>
      </c>
      <c r="I70" s="234"/>
      <c r="J70" s="234"/>
      <c r="K70" s="234"/>
      <c r="L70" s="234" t="s">
        <v>16</v>
      </c>
      <c r="M70" s="234" t="s">
        <v>16</v>
      </c>
    </row>
    <row r="71" spans="2:13" ht="45" x14ac:dyDescent="0.25">
      <c r="E71" s="352"/>
      <c r="F71" s="233" t="s">
        <v>5</v>
      </c>
      <c r="G71" s="233" t="s">
        <v>3</v>
      </c>
      <c r="H71" s="233" t="s">
        <v>479</v>
      </c>
      <c r="I71" s="234"/>
      <c r="J71" s="234"/>
      <c r="K71" s="234"/>
      <c r="L71" s="233" t="s">
        <v>480</v>
      </c>
      <c r="M71" s="233" t="s">
        <v>480</v>
      </c>
    </row>
    <row r="72" spans="2:13" x14ac:dyDescent="0.25">
      <c r="E72" s="234" t="str">
        <f>E59</f>
        <v>A</v>
      </c>
      <c r="F72" s="27">
        <f>F59</f>
        <v>0.79800000000000004</v>
      </c>
      <c r="G72" s="234">
        <f t="shared" ref="G72:G79" si="41">F72*$C$14</f>
        <v>4355.8829999999998</v>
      </c>
      <c r="H72" s="267">
        <f>MCI!H107</f>
        <v>80</v>
      </c>
      <c r="I72" s="135">
        <f>IF(AND(C77=2,C76="P"),T!$I$66,IF(AND(C77=4,C76="P"),T!$I$67,IF(AND(C77=6,C76="P"),T!$I$68,IF(AND(C77=8,C76="P"),T!$I$69,IF(AND(C77=10,C76="P"),T!$I$70,IF(AND(C77=12,C76="P"),T!$I$71,0))))))</f>
        <v>0</v>
      </c>
      <c r="J72" s="135">
        <f>IF(AND(C77=2,C76="L"),T!$J$66,IF(AND(C77=4,C76="L"),T!$J$67,IF(AND(C77=6,C76="L"),T!$J$68,IF(AND(C77=8,C76="L"),T!$J$69,IF(AND(C77=10,C76="L"),T!$J$70,IF(AND(C77=12,C76="L"),T!$J$71,0))))))</f>
        <v>65.94</v>
      </c>
      <c r="K72" s="135">
        <f>IF(AND(C77=2,C76="M"),T!$K$66,IF(AND(C77=4,C76="M"),T!$K$67,IF(AND(C77=6,C76="M"),T!$K$68,IF(AND(C77=8,C76="M"),T!$K$69,IF(AND(C77=10,C76="M"),T!$K$70,IF(AND(C77=12,C76="M"),T!$K$71,0))))))</f>
        <v>0</v>
      </c>
      <c r="L72" s="23">
        <f t="shared" ref="L72:L79" si="42">H72*G72</f>
        <v>348470.64</v>
      </c>
      <c r="M72" s="23">
        <f t="shared" ref="M72:M79" si="43">H72*G72</f>
        <v>348470.64</v>
      </c>
    </row>
    <row r="73" spans="2:13" x14ac:dyDescent="0.25">
      <c r="E73" s="234" t="str">
        <f t="shared" ref="E73:F73" si="44">E60</f>
        <v xml:space="preserve"> B</v>
      </c>
      <c r="F73" s="27">
        <f t="shared" si="44"/>
        <v>3.4000000000000002E-2</v>
      </c>
      <c r="G73" s="234">
        <f t="shared" si="41"/>
        <v>185.58900000000003</v>
      </c>
      <c r="H73" s="267">
        <f>MCI!H108</f>
        <v>125</v>
      </c>
      <c r="I73" s="135">
        <f>IF(AND(C77=2,C76="P"),T!$I$56,IF(AND(C77=4,C76="P"),T!$I$57,IF(AND(C77=6,C76="P"),T!$I$58,IF(AND(C77=8,C76="P"),T!$I$59,IF(AND(C77=10,C76="P"),T!$I$60,IF(AND(C77=12,C76="P"),T!$I$61,0))))))</f>
        <v>0</v>
      </c>
      <c r="J73" s="135">
        <f>IF(AND(C77=2,C76="L"),T!$J$56,IF(AND(C77=4,C76="L"),T!$J$57,IF(AND(C77=6,C76="L"),T!$J$58,IF(AND(C77=8,C76="L"),T!$J$59,IF(AND(C77=10,C76="L"),T!$J$60,IF(AND(C77=12,C76="L"),T!$J$61,0))))))</f>
        <v>62.12</v>
      </c>
      <c r="K73" s="135">
        <f>IF(AND(C77=2,C76="M"),T!$K$56,IF(AND(C77=4,C76="M"),T!$K$57,IF(AND(C77=6,C76="M"),T!$K$58,IF(AND(C77=8,C76="M"),T!$K$59,IF(AND(C77=10,C76="M"),T!$K$60,IF(AND(C77=12,C76="M"),T!$K$61,0))))))</f>
        <v>0</v>
      </c>
      <c r="L73" s="23">
        <f t="shared" si="42"/>
        <v>23198.625000000004</v>
      </c>
      <c r="M73" s="23">
        <f t="shared" si="43"/>
        <v>23198.625000000004</v>
      </c>
    </row>
    <row r="74" spans="2:13" x14ac:dyDescent="0.25">
      <c r="B74" s="107" t="str">
        <f t="shared" ref="B74:B79" si="45">B61</f>
        <v>Tramo</v>
      </c>
      <c r="C74" s="234">
        <f>MCI!H21</f>
        <v>6</v>
      </c>
      <c r="E74" s="234" t="str">
        <f t="shared" ref="E74:F74" si="46">E61</f>
        <v>C2</v>
      </c>
      <c r="F74" s="27">
        <f t="shared" si="46"/>
        <v>7.0166666666666669E-2</v>
      </c>
      <c r="G74" s="234">
        <f t="shared" si="41"/>
        <v>383.00475</v>
      </c>
      <c r="H74" s="267">
        <f>MCI!H109</f>
        <v>125</v>
      </c>
      <c r="I74" s="135">
        <f>IF(AND(C77=2,C76="P"),T!$I$46,IF(AND(C77=4,C76="P"),T!$I$47,IF(AND(C77=6,C76="P"),T!$I$48,IF(AND(C77=8,C76="P"),T!$I$49,IF(AND(C77=10,C76="P"),T!$I$50,IF(AND(C77=12,C76="P"),T!$I$51,0))))))</f>
        <v>0</v>
      </c>
      <c r="J74" s="135">
        <f>IF(AND(C77=2,C76="L"),T!$J$46,IF(AND(C77=4,C76="L"),T!$J$47,IF(AND(C77=6,C76="L"),T!$J$48,IF(AND(C77=8,C76="L"),T!$J$49,IF(AND(C77=10,C76="L"),T!$J$50,IF(AND(C77=12,C76="L"),T!$J$51,0))))))</f>
        <v>53.77</v>
      </c>
      <c r="K74" s="135">
        <f>IF(AND(C77=2,C76="M"),T!$K$46,IF(AND(C77=4,C76="M"),T!$K$47,IF(AND(C77=6,C76="M"),T!$K$48,IF(AND(C77=8,C76="M"),T!$K$49,IF(AND(C77=10,C76="M"),T!$K$50,IF(AND(C77=12,C76="M"),T!$K$51,0))))))</f>
        <v>0</v>
      </c>
      <c r="L74" s="23">
        <f t="shared" si="42"/>
        <v>47875.59375</v>
      </c>
      <c r="M74" s="23">
        <f t="shared" si="43"/>
        <v>47875.59375</v>
      </c>
    </row>
    <row r="75" spans="2:13" x14ac:dyDescent="0.25">
      <c r="B75" s="107" t="str">
        <f t="shared" si="45"/>
        <v>Longitud (km)</v>
      </c>
      <c r="C75" s="76">
        <f>MCI!H23</f>
        <v>39100</v>
      </c>
      <c r="E75" s="234" t="str">
        <f t="shared" ref="E75:F75" si="47">E62</f>
        <v>C3</v>
      </c>
      <c r="F75" s="27">
        <f t="shared" si="47"/>
        <v>2.0833333333333332E-2</v>
      </c>
      <c r="G75" s="234">
        <f t="shared" si="41"/>
        <v>113.71875</v>
      </c>
      <c r="H75" s="267">
        <f>MCI!H110</f>
        <v>125</v>
      </c>
      <c r="I75" s="135">
        <f>IF(AND(C77=2,C76="P"),T!$I$36,IF(AND(C77=4,C76="P"),T!$I$37,IF(AND(C77=6,C76="P"),T!$I$38,IF(AND(C77=8,C76="P"),T!$I$39,IF(AND(C77=10,C76="P"),T!$I$40,IF(AND(C77=12,C76="P"),T!$I$41,0))))))</f>
        <v>0</v>
      </c>
      <c r="J75" s="135">
        <f>IF(AND(C77=2,C76="L"),T!$J$36,IF(AND(C77=4,C76="L"),T!$J$37,IF(AND(C77=6,C76="L"),T!$J$38,IF(AND(C77=8,C76="L"),T!$J$39,IF(AND(C77=10,C76="L"),T!$J$40,IF(AND(C77=12,C76="L"),T!$J$41,0))))))</f>
        <v>46.26</v>
      </c>
      <c r="K75" s="135">
        <f>IF(AND(C77=2,C76="M"),T!$K$36,IF(AND(C77=4,C76="M"),T!$K$37,IF(AND(C77=6,C76="M"),T!$K$38,IF(AND(C77=8,C76="M"),T!$K$39,IF(AND(C77=10,C76="M"),T!$K$40,IF(AND(C77=12,C76="M"),T!$K$41,0))))))</f>
        <v>0</v>
      </c>
      <c r="L75" s="23">
        <f t="shared" si="42"/>
        <v>14214.84375</v>
      </c>
      <c r="M75" s="23">
        <f t="shared" si="43"/>
        <v>14214.84375</v>
      </c>
    </row>
    <row r="76" spans="2:13" x14ac:dyDescent="0.25">
      <c r="B76" s="107" t="str">
        <f t="shared" si="45"/>
        <v>Tipo de terreno</v>
      </c>
      <c r="C76" s="121" t="str">
        <f>IF(MCI!H24=LISTA!A2,"P",IF(MCI!H24=LISTA!A3,"L",IF(MCI!H24=LISTA!A4,"M",0)))</f>
        <v>L</v>
      </c>
      <c r="E76" s="234" t="str">
        <f t="shared" ref="E76:F76" si="48">E63</f>
        <v>T3S2</v>
      </c>
      <c r="F76" s="27">
        <f t="shared" si="48"/>
        <v>4.8333333333333339E-2</v>
      </c>
      <c r="G76" s="234">
        <f t="shared" si="41"/>
        <v>263.82750000000004</v>
      </c>
      <c r="H76" s="267">
        <f>MCI!H111</f>
        <v>180</v>
      </c>
      <c r="I76" s="135">
        <f>IF(AND(C77=2,C76="P"),T!$I$26,IF(AND(C77=4,C76="P"),T!$I$27,IF(AND(C77=6,C76="P"),T!$I$28,IF(AND(C77=8,C76="P"),T!$I$29,IF(AND(C77=10,C76="P"),T!$I$30,IF(AND(C77=12,C76="P"),T!$I$31,0))))))</f>
        <v>0</v>
      </c>
      <c r="J76" s="135">
        <f>IF(AND(C77=2,C76="L"),T!$J$26,IF(AND(C77=4,C76="L"),T!$J$27,IF(AND(C77=6,C76="L"),T!$J$28,IF(AND(C77=8,C76="L"),T!$J$29,IF(AND(C77=10,C76="L"),T!$J$30,IF(AND(C77=12,C76="L"),T!$J$31,0))))))</f>
        <v>50.12</v>
      </c>
      <c r="K76" s="135">
        <f>IF(AND(C77=2,C76="M"),T!$K$26,IF(AND(C77=4,C76="M"),T!$K$27,IF(AND(C77=6,C76="M"),T!$K$28,IF(AND(C77=8,C76="M"),T!$K$29,IF(AND(C77=10,C76="M"),T!$K$30,IF(AND(C77=12,C76="M"),T!$K$31,0))))))</f>
        <v>0</v>
      </c>
      <c r="L76" s="23">
        <f t="shared" si="42"/>
        <v>47488.950000000004</v>
      </c>
      <c r="M76" s="23">
        <f t="shared" si="43"/>
        <v>47488.950000000004</v>
      </c>
    </row>
    <row r="77" spans="2:13" x14ac:dyDescent="0.25">
      <c r="B77" s="107" t="str">
        <f t="shared" si="45"/>
        <v>IIR</v>
      </c>
      <c r="C77" s="77">
        <f>MCI!H25</f>
        <v>4</v>
      </c>
      <c r="E77" s="234" t="str">
        <f t="shared" ref="E77:F77" si="49">E64</f>
        <v xml:space="preserve"> T3S3</v>
      </c>
      <c r="F77" s="27">
        <f t="shared" si="49"/>
        <v>1.55E-2</v>
      </c>
      <c r="G77" s="234">
        <f t="shared" si="41"/>
        <v>84.606750000000005</v>
      </c>
      <c r="H77" s="267">
        <f>MCI!H112</f>
        <v>180</v>
      </c>
      <c r="I77" s="135">
        <f>IF(AND(C77=2,C76="P"),T!$I$16,IF(AND(C77=4,C76="P"),T!$I$17,IF(AND(C77=6,C76="P"),T!$I$18,IF(AND(C77=8,C76="P"),T!$I$19,IF(AND(C77=10,C76="P"),T!$I$20,IF(AND(C77=12,C76="P"),T!$I$21,0))))))</f>
        <v>0</v>
      </c>
      <c r="J77" s="135">
        <f>IF(AND(C77=2,C76="L"),T!$J$16,IF(AND(C77=4,C76="L"),T!$J$17,IF(AND(C77=6,C76="L"),T!$J$18,IF(AND(C77=8,C76="L"),T!$J$19,IF(AND(C77=10,C76="L"),T!$J$20,IF(AND(C77=12,C76="L"),T!$J$21,0))))))</f>
        <v>43.36</v>
      </c>
      <c r="K77" s="135">
        <f>IF(AND(C77=2,C76="M"),T!$K$16,IF(AND(C77=4,C76="M"),T!$K$17,IF(AND(C77=6,C76="M"),T!$K$18,IF(AND(C77=8,C76="M"),T!$K$19,IF(AND(C77=10,C76="M"),T!$K$20,IF(AND(C77=12,C76="M"),T!$K$21,0))))))</f>
        <v>0</v>
      </c>
      <c r="L77" s="23">
        <f t="shared" si="42"/>
        <v>15229.215</v>
      </c>
      <c r="M77" s="23">
        <f t="shared" si="43"/>
        <v>15229.215</v>
      </c>
    </row>
    <row r="78" spans="2:13" x14ac:dyDescent="0.25">
      <c r="B78" s="107" t="str">
        <f t="shared" si="45"/>
        <v>Descripción</v>
      </c>
      <c r="C78" s="104" t="str">
        <f>MCI!H22</f>
        <v>Acambay - Jilotepec (40D)</v>
      </c>
      <c r="E78" s="234" t="str">
        <f t="shared" ref="E78:F78" si="50">E65</f>
        <v xml:space="preserve"> T3S2R4</v>
      </c>
      <c r="F78" s="27">
        <f t="shared" si="50"/>
        <v>1.0166666666666666E-2</v>
      </c>
      <c r="G78" s="234">
        <f t="shared" si="41"/>
        <v>55.494749999999996</v>
      </c>
      <c r="H78" s="267">
        <f>MCI!H113</f>
        <v>295</v>
      </c>
      <c r="I78" s="135">
        <f>IF(AND(C77=2,C76="P"),T!$I$6,IF(AND(C77=4,C76="P"),T!$I$7,IF(AND(C77=6,C76="P"),T!$I$8,IF(AND(C77=8,C76="P"),T!$I$9,IF(AND(C77=10,C76="P"),T!$I$10,IF(AND(C77=12,C76="P"),T!$I$11,0))))))</f>
        <v>0</v>
      </c>
      <c r="J78" s="135">
        <f>IF(AND(C77=2,C76="L"),T!$J$6,IF(AND(C77=4,C76="L"),T!$J$7,IF(AND(C77=6,C76="L"),T!$J$8,IF(AND(C77=8,C76="L"),T!$J$9,IF(AND(C77=10,C76="L"),T!$J$10,IF(AND(C77=12,C76="L"),T!$J$11,0))))))</f>
        <v>34</v>
      </c>
      <c r="K78" s="135">
        <f>IF(AND(C77=2,C76="M"),T!$K$6,IF(AND(C77=4,C76="M"),T!$K$7,IF(AND(C77=6,C76="M"),T!$K$8,IF(AND(C77=8,C76="M"),T!$K$9,IF(AND(C77=10,C76="M"),T!$K$10,IF(AND(C77=12,C76="M"),T!$K$11,0))))))</f>
        <v>0</v>
      </c>
      <c r="L78" s="23">
        <f t="shared" si="42"/>
        <v>16370.951249999998</v>
      </c>
      <c r="M78" s="23">
        <f t="shared" si="43"/>
        <v>16370.951249999998</v>
      </c>
    </row>
    <row r="79" spans="2:13" x14ac:dyDescent="0.25">
      <c r="B79" s="107" t="str">
        <f t="shared" si="45"/>
        <v>TDPARP (vpd)</v>
      </c>
      <c r="C79" s="121">
        <f>C66</f>
        <v>5458.5</v>
      </c>
      <c r="E79" s="234" t="str">
        <f t="shared" ref="E79:F79" si="51">E66</f>
        <v xml:space="preserve"> OTROS</v>
      </c>
      <c r="F79" s="27">
        <f t="shared" si="51"/>
        <v>3.0000000000000768E-3</v>
      </c>
      <c r="G79" s="234">
        <f t="shared" si="41"/>
        <v>16.375500000000418</v>
      </c>
      <c r="H79" s="267">
        <f>MCI!H114</f>
        <v>158.57142857142858</v>
      </c>
      <c r="I79" s="234"/>
      <c r="J79" s="234"/>
      <c r="K79" s="234"/>
      <c r="L79" s="23">
        <f t="shared" si="42"/>
        <v>2596.6864285714951</v>
      </c>
      <c r="M79" s="23">
        <f t="shared" si="43"/>
        <v>2596.6864285714951</v>
      </c>
    </row>
    <row r="80" spans="2:13" x14ac:dyDescent="0.25">
      <c r="E80" s="19"/>
      <c r="F80" s="43"/>
      <c r="G80" s="19"/>
      <c r="H80" s="44"/>
      <c r="L80" s="229" t="s">
        <v>431</v>
      </c>
      <c r="M80" s="23">
        <f>SUM(M72:M79)</f>
        <v>515445.5051785715</v>
      </c>
    </row>
    <row r="82" spans="2:13" x14ac:dyDescent="0.25">
      <c r="E82" s="234" t="s">
        <v>19</v>
      </c>
      <c r="F82" s="229" t="s">
        <v>24</v>
      </c>
      <c r="G82" s="229" t="s">
        <v>20</v>
      </c>
      <c r="H82" s="237" t="s">
        <v>476</v>
      </c>
      <c r="I82" s="234"/>
      <c r="J82" s="234"/>
      <c r="K82" s="234"/>
      <c r="L82" s="237" t="s">
        <v>477</v>
      </c>
      <c r="M82" s="237" t="s">
        <v>477</v>
      </c>
    </row>
    <row r="83" spans="2:13" x14ac:dyDescent="0.25">
      <c r="E83" s="352" t="s">
        <v>1</v>
      </c>
      <c r="F83" s="234" t="s">
        <v>6</v>
      </c>
      <c r="G83" s="234" t="s">
        <v>7</v>
      </c>
      <c r="H83" s="234" t="s">
        <v>478</v>
      </c>
      <c r="I83" s="234"/>
      <c r="J83" s="234"/>
      <c r="K83" s="234"/>
      <c r="L83" s="234" t="s">
        <v>16</v>
      </c>
      <c r="M83" s="234" t="s">
        <v>16</v>
      </c>
    </row>
    <row r="84" spans="2:13" ht="45" x14ac:dyDescent="0.25">
      <c r="E84" s="352"/>
      <c r="F84" s="233" t="s">
        <v>5</v>
      </c>
      <c r="G84" s="233" t="s">
        <v>3</v>
      </c>
      <c r="H84" s="233" t="s">
        <v>479</v>
      </c>
      <c r="I84" s="234"/>
      <c r="J84" s="234"/>
      <c r="K84" s="234"/>
      <c r="L84" s="233" t="s">
        <v>480</v>
      </c>
      <c r="M84" s="233" t="s">
        <v>480</v>
      </c>
    </row>
    <row r="85" spans="2:13" x14ac:dyDescent="0.25">
      <c r="E85" s="234" t="str">
        <f>E72</f>
        <v>A</v>
      </c>
      <c r="F85" s="27">
        <f>F72</f>
        <v>0.79800000000000004</v>
      </c>
      <c r="G85" s="234">
        <f t="shared" ref="G85:G92" si="52">F85*$C$14</f>
        <v>4355.8829999999998</v>
      </c>
      <c r="H85" s="267">
        <f>MCI!I107</f>
        <v>77</v>
      </c>
      <c r="I85" s="135">
        <f>IF(AND(C90=2,C89="P"),T!$I$66,IF(AND(C90=4,C89="P"),T!$I$67,IF(AND(C90=6,C89="P"),T!$I$68,IF(AND(C90=8,C89="P"),T!$I$69,IF(AND(C90=10,C89="P"),T!$I$70,IF(AND(C90=12,C89="P"),T!$I$71,0))))))</f>
        <v>0</v>
      </c>
      <c r="J85" s="135">
        <f>IF(AND(C90=2,C89="L"),T!$J$66,IF(AND(C90=4,C89="L"),T!$J$67,IF(AND(C90=6,C89="L"),T!$J$68,IF(AND(C90=8,C89="L"),T!$J$69,IF(AND(C90=10,C89="L"),T!$J$70,IF(AND(C90=12,C89="L"),T!$J$71,0))))))</f>
        <v>66.72</v>
      </c>
      <c r="K85" s="135">
        <f>IF(AND(C90=2,C89="M"),T!$K$66,IF(AND(C90=4,C89="M"),T!$K$67,IF(AND(C90=6,C89="M"),T!$K$68,IF(AND(C90=8,C89="M"),T!$K$69,IF(AND(C90=10,C89="M"),T!$K$70,IF(AND(C90=12,C89="M"),T!$K$71,0))))))</f>
        <v>0</v>
      </c>
      <c r="L85" s="23">
        <f t="shared" ref="L85:L92" si="53">H85*G85</f>
        <v>335402.99099999998</v>
      </c>
      <c r="M85" s="23">
        <f t="shared" ref="M85:M92" si="54">H85*G85</f>
        <v>335402.99099999998</v>
      </c>
    </row>
    <row r="86" spans="2:13" x14ac:dyDescent="0.25">
      <c r="E86" s="234" t="str">
        <f t="shared" ref="E86:F86" si="55">E73</f>
        <v xml:space="preserve"> B</v>
      </c>
      <c r="F86" s="27">
        <f t="shared" si="55"/>
        <v>3.4000000000000002E-2</v>
      </c>
      <c r="G86" s="234">
        <f t="shared" si="52"/>
        <v>185.58900000000003</v>
      </c>
      <c r="H86" s="267">
        <f>MCI!I108</f>
        <v>154</v>
      </c>
      <c r="I86" s="135">
        <f>IF(AND(C90=2,C89="P"),T!$I$56,IF(AND(C90=4,C89="P"),T!$I$57,IF(AND(C90=6,C89="P"),T!$I$58,IF(AND(C90=8,C89="P"),T!$I$59,IF(AND(C90=10,C89="P"),T!$I$60,IF(AND(C90=12,C89="P"),T!$I$61,0))))))</f>
        <v>0</v>
      </c>
      <c r="J86" s="135">
        <f>IF(AND(C90=2,C89="L"),T!$J$56,IF(AND(C90=4,C89="L"),T!$J$57,IF(AND(C90=6,C89="L"),T!$J$58,IF(AND(C90=8,C89="L"),T!$J$59,IF(AND(C90=10,C89="L"),T!$J$60,IF(AND(C90=12,C89="L"),T!$J$61,0))))))</f>
        <v>62.78</v>
      </c>
      <c r="K86" s="135">
        <f>IF(AND(C90=2,C89="M"),T!$K$56,IF(AND(C90=4,C89="M"),T!$K$57,IF(AND(C90=6,C89="M"),T!$K$58,IF(AND(C90=8,C89="M"),T!$K$59,IF(AND(C90=10,C89="M"),T!$K$60,IF(AND(C90=12,C89="M"),T!$K$61,0))))))</f>
        <v>0</v>
      </c>
      <c r="L86" s="23">
        <f t="shared" si="53"/>
        <v>28580.706000000006</v>
      </c>
      <c r="M86" s="23">
        <f t="shared" si="54"/>
        <v>28580.706000000006</v>
      </c>
    </row>
    <row r="87" spans="2:13" x14ac:dyDescent="0.25">
      <c r="B87" s="107" t="str">
        <f t="shared" ref="B87:B92" si="56">B74</f>
        <v>Tramo</v>
      </c>
      <c r="C87" s="234">
        <f>MCI!I21</f>
        <v>7</v>
      </c>
      <c r="E87" s="234" t="str">
        <f t="shared" ref="E87:F87" si="57">E74</f>
        <v>C2</v>
      </c>
      <c r="F87" s="27">
        <f t="shared" si="57"/>
        <v>7.0166666666666669E-2</v>
      </c>
      <c r="G87" s="234">
        <f t="shared" si="52"/>
        <v>383.00475</v>
      </c>
      <c r="H87" s="267">
        <f>MCI!I109</f>
        <v>154</v>
      </c>
      <c r="I87" s="135">
        <f>IF(AND(C90=2,C89="P"),T!$I$46,IF(AND(C90=4,C89="P"),T!$I$47,IF(AND(C90=6,C89="P"),T!$I$48,IF(AND(C90=8,C89="P"),T!$I$49,IF(AND(C90=10,C89="P"),T!$I$50,IF(AND(C90=12,C89="P"),T!$I$51,0))))))</f>
        <v>0</v>
      </c>
      <c r="J87" s="135">
        <f>IF(AND(C90=2,C89="L"),T!$J$46,IF(AND(C90=4,C89="L"),T!$J$47,IF(AND(C90=6,C89="L"),T!$J$48,IF(AND(C90=8,C89="L"),T!$J$49,IF(AND(C90=10,C89="L"),T!$J$50,IF(AND(C90=12,C89="L"),T!$J$51,0))))))</f>
        <v>54.69</v>
      </c>
      <c r="K87" s="135">
        <f>IF(AND(C90=2,C89="M"),T!$K$46,IF(AND(C90=4,C89="M"),T!$K$47,IF(AND(C90=6,C89="M"),T!$K$48,IF(AND(C90=8,C89="M"),T!$K$49,IF(AND(C90=10,C89="M"),T!$K$50,IF(AND(C90=12,C89="M"),T!$K$51,0))))))</f>
        <v>0</v>
      </c>
      <c r="L87" s="23">
        <f t="shared" si="53"/>
        <v>58982.731500000002</v>
      </c>
      <c r="M87" s="23">
        <f t="shared" si="54"/>
        <v>58982.731500000002</v>
      </c>
    </row>
    <row r="88" spans="2:13" x14ac:dyDescent="0.25">
      <c r="B88" s="107" t="str">
        <f t="shared" si="56"/>
        <v>Longitud (km)</v>
      </c>
      <c r="C88" s="76">
        <f>MCI!I23</f>
        <v>67200</v>
      </c>
      <c r="E88" s="234" t="str">
        <f t="shared" ref="E88:F88" si="58">E75</f>
        <v>C3</v>
      </c>
      <c r="F88" s="27">
        <f t="shared" si="58"/>
        <v>2.0833333333333332E-2</v>
      </c>
      <c r="G88" s="234">
        <f t="shared" si="52"/>
        <v>113.71875</v>
      </c>
      <c r="H88" s="267">
        <f>MCI!I110</f>
        <v>154</v>
      </c>
      <c r="I88" s="135">
        <f>IF(AND(C90=2,C89="P"),T!$I$36,IF(AND(C90=4,C89="P"),T!$I$37,IF(AND(C90=6,C89="P"),T!$I$38,IF(AND(C90=8,C89="P"),T!$I$39,IF(AND(C90=10,C89="P"),T!$I$40,IF(AND(C90=12,C89="P"),T!$I$41,0))))))</f>
        <v>0</v>
      </c>
      <c r="J88" s="135">
        <f>IF(AND(C90=2,C89="L"),T!$J$36,IF(AND(C90=4,C89="L"),T!$J$37,IF(AND(C90=6,C89="L"),T!$J$38,IF(AND(C90=8,C89="L"),T!$J$39,IF(AND(C90=10,C89="L"),T!$J$40,IF(AND(C90=12,C89="L"),T!$J$41,0))))))</f>
        <v>46.88</v>
      </c>
      <c r="K88" s="135">
        <f>IF(AND(C90=2,C89="M"),T!$K$36,IF(AND(C90=4,C89="M"),T!$K$37,IF(AND(C90=6,C89="M"),T!$K$38,IF(AND(C90=8,C89="M"),T!$K$39,IF(AND(C90=10,C89="M"),T!$K$40,IF(AND(C90=12,C89="M"),T!$K$41,0))))))</f>
        <v>0</v>
      </c>
      <c r="L88" s="23">
        <f t="shared" si="53"/>
        <v>17512.6875</v>
      </c>
      <c r="M88" s="23">
        <f t="shared" si="54"/>
        <v>17512.6875</v>
      </c>
    </row>
    <row r="89" spans="2:13" x14ac:dyDescent="0.25">
      <c r="B89" s="107" t="str">
        <f t="shared" si="56"/>
        <v>Tipo de terreno</v>
      </c>
      <c r="C89" s="121" t="str">
        <f>IF(MCI!I24=LISTA!A2,"P",IF(MCI!I24=LISTA!A3,"L",IF(MCI!I24=LISTA!A4,"M",0)))</f>
        <v>L</v>
      </c>
      <c r="E89" s="234" t="str">
        <f t="shared" ref="E89:F89" si="59">E76</f>
        <v>T3S2</v>
      </c>
      <c r="F89" s="27">
        <f t="shared" si="59"/>
        <v>4.8333333333333339E-2</v>
      </c>
      <c r="G89" s="234">
        <f t="shared" si="52"/>
        <v>263.82750000000004</v>
      </c>
      <c r="H89" s="267">
        <f>MCI!I111</f>
        <v>301</v>
      </c>
      <c r="I89" s="135">
        <f>IF(AND(C90=2,C89="P"),T!$I$26,IF(AND(C90=4,C89="P"),T!$I$27,IF(AND(C90=6,C89="P"),T!$I$28,IF(AND(C90=8,C89="P"),T!$I$29,IF(AND(C90=10,C89="P"),T!$I$30,IF(AND(C90=12,C89="P"),T!$I$31,0))))))</f>
        <v>0</v>
      </c>
      <c r="J89" s="135">
        <f>IF(AND(C90=2,C89="L"),T!$J$26,IF(AND(C90=4,C89="L"),T!$J$27,IF(AND(C90=6,C89="L"),T!$J$28,IF(AND(C90=8,C89="L"),T!$J$29,IF(AND(C90=10,C89="L"),T!$J$30,IF(AND(C90=12,C89="L"),T!$J$31,0))))))</f>
        <v>51.04</v>
      </c>
      <c r="K89" s="135">
        <f>IF(AND(C90=2,C89="M"),T!$K$26,IF(AND(C90=4,C89="M"),T!$K$27,IF(AND(C90=6,C89="M"),T!$K$28,IF(AND(C90=8,C89="M"),T!$K$29,IF(AND(C90=10,C89="M"),T!$K$30,IF(AND(C90=12,C89="M"),T!$K$31,0))))))</f>
        <v>0</v>
      </c>
      <c r="L89" s="23">
        <f t="shared" si="53"/>
        <v>79412.077500000014</v>
      </c>
      <c r="M89" s="23">
        <f t="shared" si="54"/>
        <v>79412.077500000014</v>
      </c>
    </row>
    <row r="90" spans="2:13" x14ac:dyDescent="0.25">
      <c r="B90" s="107" t="str">
        <f t="shared" si="56"/>
        <v>IIR</v>
      </c>
      <c r="C90" s="77">
        <f>MCI!I25</f>
        <v>2</v>
      </c>
      <c r="E90" s="234" t="str">
        <f t="shared" ref="E90:F90" si="60">E77</f>
        <v xml:space="preserve"> T3S3</v>
      </c>
      <c r="F90" s="27">
        <f t="shared" si="60"/>
        <v>1.55E-2</v>
      </c>
      <c r="G90" s="234">
        <f t="shared" si="52"/>
        <v>84.606750000000005</v>
      </c>
      <c r="H90" s="267">
        <f>MCI!I112</f>
        <v>436</v>
      </c>
      <c r="I90" s="135">
        <f>IF(AND(C90=2,C89="P"),T!$I$16,IF(AND(C90=4,C89="P"),T!$I$17,IF(AND(C90=6,C89="P"),T!$I$18,IF(AND(C90=8,C89="P"),T!$I$19,IF(AND(C90=10,C89="P"),T!$I$20,IF(AND(C90=12,C89="P"),T!$I$21,0))))))</f>
        <v>0</v>
      </c>
      <c r="J90" s="135">
        <f>IF(AND(C90=2,C89="L"),T!$J$16,IF(AND(C90=4,C89="L"),T!$J$17,IF(AND(C90=6,C89="L"),T!$J$18,IF(AND(C90=8,C89="L"),T!$J$19,IF(AND(C90=10,C89="L"),T!$J$20,IF(AND(C90=12,C89="L"),T!$J$21,0))))))</f>
        <v>44</v>
      </c>
      <c r="K90" s="135">
        <f>IF(AND(C90=2,C89="M"),T!$K$16,IF(AND(C90=4,C89="M"),T!$K$17,IF(AND(C90=6,C89="M"),T!$K$18,IF(AND(C90=8,C89="M"),T!$K$19,IF(AND(C90=10,C89="M"),T!$K$20,IF(AND(C90=12,C89="M"),T!$K$21,0))))))</f>
        <v>0</v>
      </c>
      <c r="L90" s="23">
        <f t="shared" si="53"/>
        <v>36888.543000000005</v>
      </c>
      <c r="M90" s="23">
        <f t="shared" si="54"/>
        <v>36888.543000000005</v>
      </c>
    </row>
    <row r="91" spans="2:13" x14ac:dyDescent="0.25">
      <c r="B91" s="107" t="str">
        <f t="shared" si="56"/>
        <v>Descripción</v>
      </c>
      <c r="C91" s="104" t="str">
        <f>MCI!I22</f>
        <v>Jilotepec - Palmillas (57D)</v>
      </c>
      <c r="E91" s="234" t="str">
        <f t="shared" ref="E91:F91" si="61">E78</f>
        <v xml:space="preserve"> T3S2R4</v>
      </c>
      <c r="F91" s="27">
        <f t="shared" si="61"/>
        <v>1.0166666666666666E-2</v>
      </c>
      <c r="G91" s="234">
        <f t="shared" si="52"/>
        <v>55.494749999999996</v>
      </c>
      <c r="H91" s="267">
        <f>MCI!I113</f>
        <v>436</v>
      </c>
      <c r="I91" s="135">
        <f>IF(AND(C90=2,C89="P"),T!$I$6,IF(AND(C90=4,C89="P"),T!$I$7,IF(AND(C90=6,C89="P"),T!$I$8,IF(AND(C90=8,C89="P"),T!$I$9,IF(AND(C90=10,C89="P"),T!$I$10,IF(AND(C90=12,C89="P"),T!$I$11,0))))))</f>
        <v>0</v>
      </c>
      <c r="J91" s="135">
        <f>IF(AND(C90=2,C89="L"),T!$J$6,IF(AND(C90=4,C89="L"),T!$J$7,IF(AND(C90=6,C89="L"),T!$J$8,IF(AND(C90=8,C89="L"),T!$J$9,IF(AND(C90=10,C89="L"),T!$J$10,IF(AND(C90=12,C89="L"),T!$J$11,0))))))</f>
        <v>34.42</v>
      </c>
      <c r="K91" s="135">
        <f>IF(AND(C90=2,C89="M"),T!$K$6,IF(AND(C90=4,C89="M"),T!$K$7,IF(AND(C90=6,C89="M"),T!$K$8,IF(AND(C90=8,C89="M"),T!$K$9,IF(AND(C90=10,C89="M"),T!$K$10,IF(AND(C90=12,C89="M"),T!$K$11,0))))))</f>
        <v>0</v>
      </c>
      <c r="L91" s="23">
        <f t="shared" si="53"/>
        <v>24195.710999999999</v>
      </c>
      <c r="M91" s="23">
        <f t="shared" si="54"/>
        <v>24195.710999999999</v>
      </c>
    </row>
    <row r="92" spans="2:13" x14ac:dyDescent="0.25">
      <c r="B92" s="107" t="str">
        <f t="shared" si="56"/>
        <v>TDPARP (vpd)</v>
      </c>
      <c r="C92" s="121">
        <f>C79</f>
        <v>5458.5</v>
      </c>
      <c r="E92" s="234" t="str">
        <f t="shared" ref="E92:F92" si="62">E79</f>
        <v xml:space="preserve"> OTROS</v>
      </c>
      <c r="F92" s="27">
        <f t="shared" si="62"/>
        <v>3.0000000000000768E-3</v>
      </c>
      <c r="G92" s="234">
        <f t="shared" si="52"/>
        <v>16.375500000000418</v>
      </c>
      <c r="H92" s="267">
        <f>MCI!I114</f>
        <v>244.57142857142858</v>
      </c>
      <c r="I92" s="234"/>
      <c r="J92" s="234"/>
      <c r="K92" s="234"/>
      <c r="L92" s="23">
        <f t="shared" si="53"/>
        <v>4004.9794285715311</v>
      </c>
      <c r="M92" s="23">
        <f t="shared" si="54"/>
        <v>4004.9794285715311</v>
      </c>
    </row>
    <row r="93" spans="2:13" x14ac:dyDescent="0.25">
      <c r="E93" s="19"/>
      <c r="F93" s="43"/>
      <c r="G93" s="19"/>
      <c r="H93" s="44"/>
      <c r="L93" s="229" t="s">
        <v>431</v>
      </c>
      <c r="M93" s="23">
        <f>SUM(M85:M92)</f>
        <v>584980.42692857154</v>
      </c>
    </row>
    <row r="95" spans="2:13" x14ac:dyDescent="0.25">
      <c r="E95" s="8" t="s">
        <v>293</v>
      </c>
    </row>
    <row r="97" spans="5:21" x14ac:dyDescent="0.25">
      <c r="E97" s="78" t="s">
        <v>141</v>
      </c>
      <c r="F97" s="229">
        <v>1</v>
      </c>
      <c r="G97" s="229">
        <v>2</v>
      </c>
      <c r="H97" s="229">
        <v>3</v>
      </c>
      <c r="L97" s="229">
        <v>4</v>
      </c>
      <c r="M97" s="229">
        <v>5</v>
      </c>
      <c r="R97" s="229">
        <v>6</v>
      </c>
      <c r="S97" s="229">
        <v>7</v>
      </c>
    </row>
    <row r="98" spans="5:21" x14ac:dyDescent="0.25">
      <c r="E98" s="78" t="s">
        <v>170</v>
      </c>
      <c r="F98" s="162" t="str">
        <f>C13</f>
        <v>Toluca - Atlacomulco (57)</v>
      </c>
      <c r="G98" s="162" t="str">
        <f>C26</f>
        <v>Atlacomulco - Acambay (57)</v>
      </c>
      <c r="H98" s="162" t="str">
        <f>C39</f>
        <v>Atlacomulco - Acambay (40D)</v>
      </c>
      <c r="L98" s="162" t="str">
        <f>C52</f>
        <v>Acambay - Palmillas (57)</v>
      </c>
      <c r="M98" s="162" t="str">
        <f>C65</f>
        <v>Toluca - Jilotepec (57)</v>
      </c>
      <c r="N98" s="163"/>
      <c r="O98" s="163"/>
      <c r="P98" s="163"/>
      <c r="Q98" s="163"/>
      <c r="R98" s="162" t="str">
        <f>C78</f>
        <v>Acambay - Jilotepec (40D)</v>
      </c>
      <c r="S98" s="162" t="str">
        <f>C91</f>
        <v>Jilotepec - Palmillas (57D)</v>
      </c>
    </row>
    <row r="99" spans="5:21" x14ac:dyDescent="0.25">
      <c r="E99" s="78" t="s">
        <v>236</v>
      </c>
      <c r="F99" s="143">
        <f>MCI!C23</f>
        <v>45400</v>
      </c>
      <c r="G99" s="143">
        <f>MCI!D23</f>
        <v>23300</v>
      </c>
      <c r="H99" s="143">
        <f>MCI!E23</f>
        <v>23300</v>
      </c>
      <c r="L99" s="143">
        <f>MCI!F23</f>
        <v>53900</v>
      </c>
      <c r="M99" s="143">
        <f>MCI!G23</f>
        <v>83100</v>
      </c>
      <c r="N99" s="144"/>
      <c r="O99" s="144"/>
      <c r="P99" s="144"/>
      <c r="Q99" s="144"/>
      <c r="R99" s="143">
        <f>MCI!H23</f>
        <v>39100</v>
      </c>
      <c r="S99" s="143">
        <f>MCI!I23</f>
        <v>67200</v>
      </c>
    </row>
    <row r="100" spans="5:21" x14ac:dyDescent="0.25">
      <c r="E100" s="78" t="s">
        <v>110</v>
      </c>
      <c r="F100" s="143" t="str">
        <f>MCI!C24</f>
        <v>Lomerío</v>
      </c>
      <c r="G100" s="143" t="str">
        <f>MCI!D24</f>
        <v>Montañoso</v>
      </c>
      <c r="H100" s="143" t="str">
        <f>MCI!E24</f>
        <v>Montañoso</v>
      </c>
      <c r="L100" s="143" t="str">
        <f>MCI!F24</f>
        <v>Montañoso</v>
      </c>
      <c r="M100" s="143" t="str">
        <f>MCI!G24</f>
        <v>Lomerío</v>
      </c>
      <c r="N100" s="144"/>
      <c r="O100" s="144"/>
      <c r="P100" s="144"/>
      <c r="Q100" s="144"/>
      <c r="R100" s="143" t="str">
        <f>MCI!H24</f>
        <v>Lomerío</v>
      </c>
      <c r="S100" s="143" t="str">
        <f>MCI!I24</f>
        <v>Lomerío</v>
      </c>
    </row>
    <row r="101" spans="5:21" x14ac:dyDescent="0.25">
      <c r="E101" s="78" t="s">
        <v>125</v>
      </c>
      <c r="F101" s="143">
        <f>MCI!C25</f>
        <v>4</v>
      </c>
      <c r="G101" s="143">
        <f>MCI!D25</f>
        <v>6</v>
      </c>
      <c r="H101" s="143">
        <f>MCI!E25</f>
        <v>4</v>
      </c>
      <c r="L101" s="143">
        <f>MCI!F25</f>
        <v>4</v>
      </c>
      <c r="M101" s="143">
        <f>MCI!G25</f>
        <v>8</v>
      </c>
      <c r="N101" s="144"/>
      <c r="O101" s="144"/>
      <c r="P101" s="144"/>
      <c r="Q101" s="144"/>
      <c r="R101" s="143">
        <f>MCI!H25</f>
        <v>4</v>
      </c>
      <c r="S101" s="143">
        <f>MCI!I25</f>
        <v>2</v>
      </c>
    </row>
    <row r="102" spans="5:21" x14ac:dyDescent="0.25">
      <c r="E102" s="145" t="s">
        <v>481</v>
      </c>
      <c r="F102" s="177">
        <f>M15</f>
        <v>494821.60264285724</v>
      </c>
      <c r="G102" s="177">
        <f>M28</f>
        <v>0</v>
      </c>
      <c r="H102" s="177">
        <f>M41</f>
        <v>157997.58214285719</v>
      </c>
      <c r="L102" s="177">
        <f>M54</f>
        <v>0</v>
      </c>
      <c r="M102" s="177">
        <f>M67</f>
        <v>247410.80132142862</v>
      </c>
      <c r="N102" s="270"/>
      <c r="O102" s="270"/>
      <c r="P102" s="270"/>
      <c r="Q102" s="270"/>
      <c r="R102" s="177">
        <f>M80</f>
        <v>515445.5051785715</v>
      </c>
      <c r="S102" s="177">
        <f>M93</f>
        <v>584980.42692857154</v>
      </c>
    </row>
    <row r="103" spans="5:21" x14ac:dyDescent="0.25">
      <c r="E103" s="8"/>
      <c r="F103" s="132"/>
      <c r="G103" s="149"/>
      <c r="H103" s="149"/>
      <c r="L103" s="149"/>
      <c r="M103" s="129"/>
      <c r="N103" s="33"/>
      <c r="O103" s="33"/>
      <c r="P103" s="33"/>
      <c r="Q103" s="232"/>
      <c r="R103" s="147"/>
      <c r="S103" s="28"/>
      <c r="T103" s="28"/>
    </row>
    <row r="104" spans="5:21" x14ac:dyDescent="0.25">
      <c r="E104" s="346" t="s">
        <v>286</v>
      </c>
      <c r="F104" s="343" t="s">
        <v>69</v>
      </c>
      <c r="G104" s="343" t="s">
        <v>237</v>
      </c>
      <c r="H104" s="343" t="s">
        <v>28</v>
      </c>
      <c r="L104" s="343" t="s">
        <v>238</v>
      </c>
      <c r="M104" s="114" t="s">
        <v>482</v>
      </c>
      <c r="N104" s="129"/>
      <c r="O104" s="33"/>
      <c r="P104" s="33"/>
      <c r="Q104" s="33"/>
      <c r="R104" s="229" t="s">
        <v>483</v>
      </c>
      <c r="S104" s="229" t="s">
        <v>484</v>
      </c>
      <c r="T104" s="229" t="s">
        <v>485</v>
      </c>
      <c r="U104" s="296" t="s">
        <v>510</v>
      </c>
    </row>
    <row r="105" spans="5:21" x14ac:dyDescent="0.25">
      <c r="E105" s="347"/>
      <c r="F105" s="344"/>
      <c r="G105" s="344"/>
      <c r="H105" s="344"/>
      <c r="L105" s="344"/>
      <c r="M105" s="235" t="s">
        <v>14</v>
      </c>
      <c r="N105" s="34" t="s">
        <v>22</v>
      </c>
      <c r="O105" s="34" t="s">
        <v>23</v>
      </c>
      <c r="P105" s="34" t="s">
        <v>257</v>
      </c>
      <c r="Q105" s="34" t="s">
        <v>258</v>
      </c>
      <c r="R105" s="229" t="s">
        <v>14</v>
      </c>
      <c r="S105" s="229" t="s">
        <v>15</v>
      </c>
      <c r="T105" s="229" t="s">
        <v>279</v>
      </c>
      <c r="U105" s="302" t="s">
        <v>530</v>
      </c>
    </row>
    <row r="106" spans="5:21" x14ac:dyDescent="0.25">
      <c r="E106" s="78" t="s">
        <v>239</v>
      </c>
      <c r="F106" s="21">
        <f>MCI!C31</f>
        <v>1</v>
      </c>
      <c r="G106" s="21">
        <f>MCI!D31</f>
        <v>2</v>
      </c>
      <c r="H106" s="21">
        <f>MCI!E31</f>
        <v>4</v>
      </c>
      <c r="L106" s="21" t="str">
        <f>MCI!F31</f>
        <v>N/A</v>
      </c>
      <c r="M106" s="271">
        <f t="shared" ref="M106:M111" si="63">SUM(N106:Q106)</f>
        <v>494821.60264285724</v>
      </c>
      <c r="N106" s="135">
        <f t="shared" ref="N106:P111" si="64">IF(F106=$F$97,$F$102,IF(F106=$G$97,$G$102,IF(F106=$H$97,$H$102,IF(F106=$L$97,$L$102,IF(F106=$M$97,$M$102,IF(F106=$R$97,$R$102,IF(F106=$S$97,$S$102,0)))))))</f>
        <v>494821.60264285724</v>
      </c>
      <c r="O106" s="141">
        <f t="shared" si="64"/>
        <v>0</v>
      </c>
      <c r="P106" s="141">
        <f t="shared" si="64"/>
        <v>0</v>
      </c>
      <c r="Q106" s="141">
        <f t="shared" ref="Q106:Q111" si="65">IF(L106=$F$97,$F$102,IF(L106=$G$97,$G$102,IF(L106=$H$97,$H$102,IF(L106=$L$97,$L$102,IF(L106=$M$97,$M$102,IF(L106=$R$97,$R$102,IF(L106=$S$97,$S$102,0)))))))</f>
        <v>0</v>
      </c>
      <c r="R106" s="150">
        <v>0</v>
      </c>
      <c r="S106" s="150">
        <v>0</v>
      </c>
      <c r="T106" s="150">
        <v>0</v>
      </c>
      <c r="U106" s="301">
        <f>IF(M106=0,0,M106/$M$106)</f>
        <v>1</v>
      </c>
    </row>
    <row r="107" spans="5:21" x14ac:dyDescent="0.25">
      <c r="E107" s="78" t="s">
        <v>241</v>
      </c>
      <c r="F107" s="21">
        <f>MCI!C32</f>
        <v>1</v>
      </c>
      <c r="G107" s="21">
        <f>MCI!D32</f>
        <v>2</v>
      </c>
      <c r="H107" s="21">
        <f>MCI!E32</f>
        <v>6</v>
      </c>
      <c r="L107" s="21">
        <f>MCI!F32</f>
        <v>7</v>
      </c>
      <c r="M107" s="271">
        <f t="shared" si="63"/>
        <v>1595247.5347500001</v>
      </c>
      <c r="N107" s="135">
        <f t="shared" si="64"/>
        <v>494821.60264285724</v>
      </c>
      <c r="O107" s="141">
        <f t="shared" si="64"/>
        <v>0</v>
      </c>
      <c r="P107" s="141">
        <f t="shared" si="64"/>
        <v>515445.5051785715</v>
      </c>
      <c r="Q107" s="141">
        <f t="shared" si="65"/>
        <v>584980.42692857154</v>
      </c>
      <c r="R107" s="23">
        <f>M107-$M$106</f>
        <v>1100425.9321071429</v>
      </c>
      <c r="S107" s="23">
        <f>R107/24</f>
        <v>45851.080504464284</v>
      </c>
      <c r="T107" s="23">
        <f>S107/3600</f>
        <v>12.736411251240078</v>
      </c>
      <c r="U107" s="301">
        <f t="shared" ref="U107:U111" si="66">IF(M107=0,0,M107/$M$106)</f>
        <v>3.2238841760944439</v>
      </c>
    </row>
    <row r="108" spans="5:21" x14ac:dyDescent="0.25">
      <c r="E108" s="78" t="s">
        <v>240</v>
      </c>
      <c r="F108" s="21">
        <f>MCI!C33</f>
        <v>1</v>
      </c>
      <c r="G108" s="21">
        <f>MCI!D33</f>
        <v>3</v>
      </c>
      <c r="H108" s="21">
        <f>MCI!E33</f>
        <v>4</v>
      </c>
      <c r="L108" s="21" t="str">
        <f>MCI!F33</f>
        <v>N/A</v>
      </c>
      <c r="M108" s="271">
        <f t="shared" si="63"/>
        <v>652819.18478571437</v>
      </c>
      <c r="N108" s="135">
        <f t="shared" si="64"/>
        <v>494821.60264285724</v>
      </c>
      <c r="O108" s="141">
        <f t="shared" si="64"/>
        <v>157997.58214285719</v>
      </c>
      <c r="P108" s="141">
        <f t="shared" si="64"/>
        <v>0</v>
      </c>
      <c r="Q108" s="141">
        <f t="shared" si="65"/>
        <v>0</v>
      </c>
      <c r="R108" s="23">
        <f>M108-$M$106</f>
        <v>157997.58214285714</v>
      </c>
      <c r="S108" s="23">
        <f t="shared" ref="S108:S111" si="67">R108/24</f>
        <v>6583.2325892857143</v>
      </c>
      <c r="T108" s="23">
        <f t="shared" ref="T108:T111" si="68">S108/3600</f>
        <v>1.8286757192460317</v>
      </c>
      <c r="U108" s="301">
        <f t="shared" si="66"/>
        <v>1.319302110698052</v>
      </c>
    </row>
    <row r="109" spans="5:21" x14ac:dyDescent="0.25">
      <c r="E109" s="78" t="s">
        <v>242</v>
      </c>
      <c r="F109" s="21">
        <f>MCI!C34</f>
        <v>1</v>
      </c>
      <c r="G109" s="21">
        <f>MCI!D34</f>
        <v>3</v>
      </c>
      <c r="H109" s="21">
        <f>MCI!E34</f>
        <v>6</v>
      </c>
      <c r="L109" s="21">
        <f>MCI!F34</f>
        <v>7</v>
      </c>
      <c r="M109" s="271">
        <f t="shared" si="63"/>
        <v>1753245.1168928575</v>
      </c>
      <c r="N109" s="135">
        <f t="shared" si="64"/>
        <v>494821.60264285724</v>
      </c>
      <c r="O109" s="141">
        <f t="shared" si="64"/>
        <v>157997.58214285719</v>
      </c>
      <c r="P109" s="141">
        <f t="shared" si="64"/>
        <v>515445.5051785715</v>
      </c>
      <c r="Q109" s="141">
        <f t="shared" si="65"/>
        <v>584980.42692857154</v>
      </c>
      <c r="R109" s="23">
        <f>M109-$M$106</f>
        <v>1258423.5142500002</v>
      </c>
      <c r="S109" s="23">
        <f t="shared" si="67"/>
        <v>52434.31309375001</v>
      </c>
      <c r="T109" s="23">
        <f t="shared" si="68"/>
        <v>14.565086970486114</v>
      </c>
      <c r="U109" s="301">
        <f t="shared" si="66"/>
        <v>3.5431862867924964</v>
      </c>
    </row>
    <row r="110" spans="5:21" x14ac:dyDescent="0.25">
      <c r="E110" s="78" t="s">
        <v>243</v>
      </c>
      <c r="F110" s="21">
        <f>MCI!C35</f>
        <v>5</v>
      </c>
      <c r="G110" s="21">
        <f>MCI!D35</f>
        <v>6</v>
      </c>
      <c r="H110" s="21">
        <f>MCI!E35</f>
        <v>4</v>
      </c>
      <c r="L110" s="21" t="str">
        <f>MCI!F35</f>
        <v>N/A</v>
      </c>
      <c r="M110" s="271">
        <f t="shared" si="63"/>
        <v>762856.30650000018</v>
      </c>
      <c r="N110" s="135">
        <f t="shared" si="64"/>
        <v>247410.80132142862</v>
      </c>
      <c r="O110" s="141">
        <f t="shared" si="64"/>
        <v>515445.5051785715</v>
      </c>
      <c r="P110" s="141">
        <f t="shared" si="64"/>
        <v>0</v>
      </c>
      <c r="Q110" s="141">
        <f t="shared" si="65"/>
        <v>0</v>
      </c>
      <c r="R110" s="23">
        <f>M110-$M$106</f>
        <v>268034.70385714294</v>
      </c>
      <c r="S110" s="23">
        <f t="shared" si="67"/>
        <v>11168.112660714289</v>
      </c>
      <c r="T110" s="23">
        <f t="shared" si="68"/>
        <v>3.1022535168650802</v>
      </c>
      <c r="U110" s="301">
        <f t="shared" si="66"/>
        <v>1.5416794707942447</v>
      </c>
    </row>
    <row r="111" spans="5:21" x14ac:dyDescent="0.25">
      <c r="E111" s="78" t="s">
        <v>244</v>
      </c>
      <c r="F111" s="21">
        <f>MCI!C36</f>
        <v>5</v>
      </c>
      <c r="G111" s="21">
        <f>MCI!D36</f>
        <v>7</v>
      </c>
      <c r="H111" s="21" t="str">
        <f>MCI!E36</f>
        <v>N/A</v>
      </c>
      <c r="L111" s="21" t="str">
        <f>MCI!F36</f>
        <v>N/A</v>
      </c>
      <c r="M111" s="271">
        <f t="shared" si="63"/>
        <v>832391.22825000016</v>
      </c>
      <c r="N111" s="135">
        <f t="shared" si="64"/>
        <v>247410.80132142862</v>
      </c>
      <c r="O111" s="141">
        <f t="shared" si="64"/>
        <v>584980.42692857154</v>
      </c>
      <c r="P111" s="141">
        <f t="shared" si="64"/>
        <v>0</v>
      </c>
      <c r="Q111" s="141">
        <f t="shared" si="65"/>
        <v>0</v>
      </c>
      <c r="R111" s="23">
        <f>M111-$M$106</f>
        <v>337569.62560714292</v>
      </c>
      <c r="S111" s="23">
        <f t="shared" si="67"/>
        <v>14065.401066964288</v>
      </c>
      <c r="T111" s="23">
        <f t="shared" si="68"/>
        <v>3.9070558519345244</v>
      </c>
      <c r="U111" s="301">
        <f t="shared" si="66"/>
        <v>1.6822047053001996</v>
      </c>
    </row>
  </sheetData>
  <mergeCells count="12">
    <mergeCell ref="E83:E84"/>
    <mergeCell ref="E5:E6"/>
    <mergeCell ref="E18:E19"/>
    <mergeCell ref="E31:E32"/>
    <mergeCell ref="E44:E45"/>
    <mergeCell ref="E57:E58"/>
    <mergeCell ref="E70:E71"/>
    <mergeCell ref="F104:F105"/>
    <mergeCell ref="G104:G105"/>
    <mergeCell ref="H104:H105"/>
    <mergeCell ref="L104:L105"/>
    <mergeCell ref="E104:E105"/>
  </mergeCells>
  <pageMargins left="0.7" right="0.7" top="0.75" bottom="0.75" header="0.3" footer="0.3"/>
  <pageSetup scale="61" fitToHeight="0" orientation="landscape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1:K71"/>
  <sheetViews>
    <sheetView workbookViewId="0">
      <selection activeCell="E67" sqref="E67"/>
    </sheetView>
  </sheetViews>
  <sheetFormatPr baseColWidth="10" defaultRowHeight="15" x14ac:dyDescent="0.25"/>
  <cols>
    <col min="2" max="2" width="0" hidden="1" customWidth="1"/>
    <col min="3" max="3" width="19.5703125" customWidth="1"/>
  </cols>
  <sheetData>
    <row r="1" spans="1:11" x14ac:dyDescent="0.25">
      <c r="A1" s="1" t="s">
        <v>226</v>
      </c>
      <c r="B1" s="1" t="s">
        <v>113</v>
      </c>
      <c r="C1" s="5" t="s">
        <v>111</v>
      </c>
      <c r="D1" s="1"/>
      <c r="E1" s="1"/>
      <c r="F1" s="1"/>
      <c r="G1" s="1"/>
    </row>
    <row r="2" spans="1:11" x14ac:dyDescent="0.25">
      <c r="A2" s="1"/>
      <c r="B2" s="1"/>
      <c r="C2" s="5"/>
      <c r="D2" s="1"/>
      <c r="E2" s="1"/>
      <c r="F2" s="1"/>
      <c r="G2" s="1"/>
    </row>
    <row r="3" spans="1:11" x14ac:dyDescent="0.25">
      <c r="A3" s="1" t="s">
        <v>114</v>
      </c>
      <c r="B3" s="1" t="s">
        <v>115</v>
      </c>
      <c r="C3" s="1" t="s">
        <v>116</v>
      </c>
      <c r="D3" s="1" t="s">
        <v>117</v>
      </c>
      <c r="E3" s="1" t="s">
        <v>118</v>
      </c>
      <c r="F3" s="1"/>
      <c r="G3" s="1"/>
      <c r="H3" t="s">
        <v>229</v>
      </c>
      <c r="K3" t="str">
        <f>E3</f>
        <v>(T3-S2-R4)</v>
      </c>
    </row>
    <row r="4" spans="1:11" x14ac:dyDescent="0.25">
      <c r="A4" s="366" t="s">
        <v>227</v>
      </c>
      <c r="B4" s="366"/>
      <c r="C4" s="366"/>
      <c r="D4" s="366"/>
      <c r="E4" s="366"/>
      <c r="F4" s="1"/>
      <c r="G4" s="1"/>
      <c r="H4" s="366" t="s">
        <v>228</v>
      </c>
      <c r="I4" s="366"/>
      <c r="J4" s="366"/>
      <c r="K4" s="366"/>
    </row>
    <row r="5" spans="1:11" x14ac:dyDescent="0.25">
      <c r="A5" s="1" t="s">
        <v>125</v>
      </c>
      <c r="B5" s="1" t="s">
        <v>126</v>
      </c>
      <c r="C5" s="1" t="s">
        <v>127</v>
      </c>
      <c r="D5" s="1" t="s">
        <v>128</v>
      </c>
      <c r="E5" s="1" t="s">
        <v>129</v>
      </c>
      <c r="G5" s="1"/>
      <c r="H5" s="1" t="s">
        <v>125</v>
      </c>
      <c r="I5" s="1" t="s">
        <v>127</v>
      </c>
      <c r="J5" s="1" t="s">
        <v>128</v>
      </c>
      <c r="K5" s="1" t="s">
        <v>129</v>
      </c>
    </row>
    <row r="6" spans="1:11" x14ac:dyDescent="0.25">
      <c r="A6" s="1">
        <v>2</v>
      </c>
      <c r="B6" s="1">
        <v>18.66</v>
      </c>
      <c r="C6" s="1">
        <v>21.85</v>
      </c>
      <c r="D6" s="1">
        <v>29.48</v>
      </c>
      <c r="E6" s="1">
        <v>37.9</v>
      </c>
      <c r="F6" s="1"/>
      <c r="G6" s="1"/>
      <c r="H6">
        <v>2</v>
      </c>
      <c r="I6">
        <v>53.11</v>
      </c>
      <c r="J6">
        <v>34.42</v>
      </c>
      <c r="K6">
        <v>25.34</v>
      </c>
    </row>
    <row r="7" spans="1:11" x14ac:dyDescent="0.25">
      <c r="A7" s="1">
        <v>4</v>
      </c>
      <c r="B7" s="1">
        <v>20.18</v>
      </c>
      <c r="C7" s="1">
        <v>23.46</v>
      </c>
      <c r="D7" s="1">
        <v>31.16</v>
      </c>
      <c r="E7" s="1">
        <v>39.64</v>
      </c>
      <c r="F7" s="1"/>
      <c r="G7" s="1"/>
      <c r="H7">
        <v>4</v>
      </c>
      <c r="I7">
        <v>51.57</v>
      </c>
      <c r="J7">
        <v>34</v>
      </c>
      <c r="K7">
        <v>25.16</v>
      </c>
    </row>
    <row r="8" spans="1:11" x14ac:dyDescent="0.25">
      <c r="A8" s="1">
        <v>6</v>
      </c>
      <c r="B8" s="1">
        <v>21.69</v>
      </c>
      <c r="C8" s="1">
        <v>25.07</v>
      </c>
      <c r="D8" s="1">
        <v>32.86</v>
      </c>
      <c r="E8" s="1">
        <v>41.4</v>
      </c>
      <c r="F8" s="1"/>
      <c r="G8" s="1"/>
      <c r="H8">
        <v>6</v>
      </c>
      <c r="I8">
        <v>48.19</v>
      </c>
      <c r="J8">
        <v>33.19</v>
      </c>
      <c r="K8">
        <v>24.85</v>
      </c>
    </row>
    <row r="9" spans="1:11" x14ac:dyDescent="0.25">
      <c r="A9" s="1">
        <v>8</v>
      </c>
      <c r="B9" s="1">
        <v>23.37</v>
      </c>
      <c r="C9" s="1">
        <v>26.75</v>
      </c>
      <c r="D9" s="1">
        <v>34.61</v>
      </c>
      <c r="E9" s="1">
        <v>43.21</v>
      </c>
      <c r="F9" s="1"/>
      <c r="G9" s="1"/>
      <c r="H9">
        <v>8</v>
      </c>
      <c r="I9">
        <v>43.14</v>
      </c>
      <c r="J9">
        <v>31.77</v>
      </c>
      <c r="K9">
        <v>24.32</v>
      </c>
    </row>
    <row r="10" spans="1:11" x14ac:dyDescent="0.25">
      <c r="A10" s="1">
        <v>10</v>
      </c>
      <c r="B10" s="1">
        <v>25.26</v>
      </c>
      <c r="C10" s="1">
        <v>28.56</v>
      </c>
      <c r="D10" s="1">
        <v>36.44</v>
      </c>
      <c r="E10" s="1">
        <v>45.08</v>
      </c>
      <c r="F10" s="1"/>
      <c r="G10" s="1"/>
      <c r="H10">
        <v>10</v>
      </c>
      <c r="I10">
        <v>37.74</v>
      </c>
      <c r="J10">
        <v>29.83</v>
      </c>
      <c r="K10">
        <v>23.52</v>
      </c>
    </row>
    <row r="11" spans="1:11" x14ac:dyDescent="0.25">
      <c r="A11" s="1">
        <v>12</v>
      </c>
      <c r="B11" s="1">
        <v>27.3</v>
      </c>
      <c r="C11" s="1">
        <v>30.49</v>
      </c>
      <c r="D11" s="1">
        <v>38.340000000000003</v>
      </c>
      <c r="E11" s="1">
        <v>47.02</v>
      </c>
      <c r="F11" s="1"/>
      <c r="G11" s="1"/>
      <c r="H11">
        <v>12</v>
      </c>
      <c r="I11">
        <v>32.89</v>
      </c>
      <c r="J11">
        <v>27.65</v>
      </c>
      <c r="K11">
        <v>22.51</v>
      </c>
    </row>
    <row r="12" spans="1:11" x14ac:dyDescent="0.25">
      <c r="A12" s="1"/>
      <c r="B12" s="1"/>
      <c r="C12" s="1"/>
      <c r="D12" s="1"/>
      <c r="E12" s="1"/>
      <c r="F12" s="1"/>
      <c r="G12" s="1"/>
    </row>
    <row r="13" spans="1:11" x14ac:dyDescent="0.25">
      <c r="A13" s="1" t="s">
        <v>114</v>
      </c>
      <c r="B13" s="1" t="s">
        <v>115</v>
      </c>
      <c r="C13" s="1" t="s">
        <v>116</v>
      </c>
      <c r="D13" s="1" t="s">
        <v>117</v>
      </c>
      <c r="E13" s="1" t="s">
        <v>130</v>
      </c>
      <c r="F13" s="1"/>
      <c r="G13" s="1"/>
      <c r="H13" t="s">
        <v>229</v>
      </c>
      <c r="K13" t="str">
        <f>E13</f>
        <v>(T3-S3)</v>
      </c>
    </row>
    <row r="14" spans="1:11" x14ac:dyDescent="0.25">
      <c r="A14" s="1" t="s">
        <v>119</v>
      </c>
      <c r="B14" s="1" t="s">
        <v>120</v>
      </c>
      <c r="C14" s="1" t="s">
        <v>121</v>
      </c>
      <c r="D14" s="1" t="s">
        <v>122</v>
      </c>
      <c r="E14" s="1" t="s">
        <v>123</v>
      </c>
      <c r="F14" s="1" t="s">
        <v>124</v>
      </c>
      <c r="G14" s="1">
        <v>-2016</v>
      </c>
      <c r="H14" s="366" t="s">
        <v>228</v>
      </c>
      <c r="I14" s="366"/>
      <c r="J14" s="366"/>
      <c r="K14" s="366"/>
    </row>
    <row r="15" spans="1:11" x14ac:dyDescent="0.25">
      <c r="A15" s="1" t="s">
        <v>125</v>
      </c>
      <c r="B15" s="1" t="s">
        <v>126</v>
      </c>
      <c r="C15" s="1" t="s">
        <v>127</v>
      </c>
      <c r="D15" s="1" t="s">
        <v>128</v>
      </c>
      <c r="E15" s="1" t="s">
        <v>129</v>
      </c>
      <c r="G15" s="1"/>
      <c r="H15" s="1" t="s">
        <v>125</v>
      </c>
      <c r="I15" s="1" t="s">
        <v>127</v>
      </c>
      <c r="J15" s="1" t="s">
        <v>128</v>
      </c>
      <c r="K15" s="1" t="s">
        <v>129</v>
      </c>
    </row>
    <row r="16" spans="1:11" x14ac:dyDescent="0.25">
      <c r="A16" s="1">
        <v>2</v>
      </c>
      <c r="B16" s="1">
        <v>14.89</v>
      </c>
      <c r="C16" s="1">
        <v>16.940000000000001</v>
      </c>
      <c r="D16" s="1">
        <v>22.1</v>
      </c>
      <c r="E16" s="1">
        <v>28.03</v>
      </c>
      <c r="F16" s="1"/>
      <c r="G16" s="1"/>
      <c r="H16">
        <v>2</v>
      </c>
      <c r="I16">
        <v>65.709999999999994</v>
      </c>
      <c r="J16">
        <v>44</v>
      </c>
      <c r="K16">
        <v>32.450000000000003</v>
      </c>
    </row>
    <row r="17" spans="1:11" x14ac:dyDescent="0.25">
      <c r="A17" s="1">
        <v>4</v>
      </c>
      <c r="B17" s="1">
        <v>16.079999999999998</v>
      </c>
      <c r="C17" s="1">
        <v>18.25</v>
      </c>
      <c r="D17" s="1">
        <v>23.5</v>
      </c>
      <c r="E17" s="1">
        <v>29.46</v>
      </c>
      <c r="F17" s="1"/>
      <c r="G17" s="1"/>
      <c r="H17">
        <v>4</v>
      </c>
      <c r="I17">
        <v>63.01</v>
      </c>
      <c r="J17">
        <v>43.36</v>
      </c>
      <c r="K17">
        <v>32.21</v>
      </c>
    </row>
    <row r="18" spans="1:11" x14ac:dyDescent="0.25">
      <c r="A18" s="1">
        <v>6</v>
      </c>
      <c r="B18" s="1">
        <v>17.29</v>
      </c>
      <c r="C18" s="1">
        <v>19.559999999999999</v>
      </c>
      <c r="D18" s="1">
        <v>24.91</v>
      </c>
      <c r="E18" s="1">
        <v>30.91</v>
      </c>
      <c r="F18" s="1"/>
      <c r="G18" s="1"/>
      <c r="H18">
        <v>6</v>
      </c>
      <c r="I18">
        <v>56.28</v>
      </c>
      <c r="J18">
        <v>41.72</v>
      </c>
      <c r="K18">
        <v>31.68</v>
      </c>
    </row>
    <row r="19" spans="1:11" x14ac:dyDescent="0.25">
      <c r="A19" s="1">
        <v>8</v>
      </c>
      <c r="B19" s="1">
        <v>18.79</v>
      </c>
      <c r="C19" s="1">
        <v>21.02</v>
      </c>
      <c r="D19" s="1">
        <v>26.4</v>
      </c>
      <c r="E19" s="1">
        <v>32.42</v>
      </c>
      <c r="F19" s="1"/>
      <c r="G19" s="1"/>
      <c r="H19">
        <v>8</v>
      </c>
      <c r="I19">
        <v>47.69</v>
      </c>
      <c r="J19">
        <v>38.799999999999997</v>
      </c>
      <c r="K19">
        <v>30.66</v>
      </c>
    </row>
    <row r="20" spans="1:11" x14ac:dyDescent="0.25">
      <c r="A20" s="1">
        <v>10</v>
      </c>
      <c r="B20" s="1">
        <v>20.52</v>
      </c>
      <c r="C20" s="1">
        <v>22.66</v>
      </c>
      <c r="D20" s="1">
        <v>27.98</v>
      </c>
      <c r="E20" s="1">
        <v>34</v>
      </c>
      <c r="F20" s="1"/>
      <c r="G20" s="1"/>
      <c r="H20">
        <v>10</v>
      </c>
      <c r="I20">
        <v>40.06</v>
      </c>
      <c r="J20">
        <v>35.14</v>
      </c>
      <c r="K20">
        <v>29.11</v>
      </c>
    </row>
    <row r="21" spans="1:11" x14ac:dyDescent="0.25">
      <c r="A21" s="1">
        <v>12</v>
      </c>
      <c r="B21" s="1">
        <v>22.38</v>
      </c>
      <c r="C21" s="1">
        <v>24.44</v>
      </c>
      <c r="D21" s="1">
        <v>29.65</v>
      </c>
      <c r="E21" s="1">
        <v>35.659999999999997</v>
      </c>
      <c r="F21" s="1"/>
      <c r="G21" s="1"/>
      <c r="H21">
        <v>12</v>
      </c>
      <c r="I21">
        <v>34.090000000000003</v>
      </c>
      <c r="J21">
        <v>31.42</v>
      </c>
      <c r="K21">
        <v>27.22</v>
      </c>
    </row>
    <row r="22" spans="1:11" x14ac:dyDescent="0.25">
      <c r="A22" s="1"/>
      <c r="B22" s="1"/>
      <c r="C22" s="1"/>
      <c r="D22" s="1"/>
      <c r="E22" s="1"/>
      <c r="F22" s="1"/>
      <c r="G22" s="1"/>
    </row>
    <row r="23" spans="1:11" x14ac:dyDescent="0.25">
      <c r="A23" s="1" t="s">
        <v>114</v>
      </c>
      <c r="B23" s="1" t="s">
        <v>115</v>
      </c>
      <c r="C23" s="1" t="s">
        <v>116</v>
      </c>
      <c r="D23" s="1" t="s">
        <v>117</v>
      </c>
      <c r="E23" s="1" t="s">
        <v>131</v>
      </c>
      <c r="F23" s="1"/>
      <c r="G23" s="1"/>
      <c r="H23" t="s">
        <v>229</v>
      </c>
      <c r="K23" t="str">
        <f>E23</f>
        <v>(T3-S2)</v>
      </c>
    </row>
    <row r="24" spans="1:11" x14ac:dyDescent="0.25">
      <c r="A24" s="1" t="s">
        <v>119</v>
      </c>
      <c r="B24" s="1" t="s">
        <v>120</v>
      </c>
      <c r="C24" s="1" t="s">
        <v>121</v>
      </c>
      <c r="D24" s="1" t="s">
        <v>122</v>
      </c>
      <c r="E24" s="1" t="s">
        <v>123</v>
      </c>
      <c r="F24" s="1" t="s">
        <v>124</v>
      </c>
      <c r="G24" s="1">
        <v>-2016</v>
      </c>
      <c r="H24" s="366" t="s">
        <v>228</v>
      </c>
      <c r="I24" s="366"/>
      <c r="J24" s="366"/>
      <c r="K24" s="366"/>
    </row>
    <row r="25" spans="1:11" x14ac:dyDescent="0.25">
      <c r="A25" s="1" t="s">
        <v>125</v>
      </c>
      <c r="B25" s="1" t="s">
        <v>126</v>
      </c>
      <c r="C25" s="1" t="s">
        <v>127</v>
      </c>
      <c r="D25" s="1" t="s">
        <v>128</v>
      </c>
      <c r="E25" s="1" t="s">
        <v>129</v>
      </c>
      <c r="G25" s="1"/>
      <c r="H25" s="1" t="s">
        <v>125</v>
      </c>
      <c r="I25" s="1" t="s">
        <v>127</v>
      </c>
      <c r="J25" s="1" t="s">
        <v>128</v>
      </c>
      <c r="K25" s="1" t="s">
        <v>129</v>
      </c>
    </row>
    <row r="26" spans="1:11" x14ac:dyDescent="0.25">
      <c r="A26" s="1">
        <v>2</v>
      </c>
      <c r="B26" s="1">
        <v>13.27</v>
      </c>
      <c r="C26" s="1">
        <v>14.78</v>
      </c>
      <c r="D26" s="1">
        <v>18.670000000000002</v>
      </c>
      <c r="E26" s="1">
        <v>23.26</v>
      </c>
      <c r="F26" s="1"/>
      <c r="G26" s="1"/>
      <c r="H26">
        <v>2</v>
      </c>
      <c r="I26">
        <v>73.33</v>
      </c>
      <c r="J26">
        <v>51.04</v>
      </c>
      <c r="K26">
        <v>37.880000000000003</v>
      </c>
    </row>
    <row r="27" spans="1:11" x14ac:dyDescent="0.25">
      <c r="A27" s="1">
        <v>4</v>
      </c>
      <c r="B27" s="1">
        <v>14.35</v>
      </c>
      <c r="C27" s="1">
        <v>15.98</v>
      </c>
      <c r="D27" s="1">
        <v>19.96</v>
      </c>
      <c r="E27" s="1">
        <v>24.59</v>
      </c>
      <c r="F27" s="1"/>
      <c r="G27" s="1"/>
      <c r="H27">
        <v>4</v>
      </c>
      <c r="I27">
        <v>69.42</v>
      </c>
      <c r="J27">
        <v>50.12</v>
      </c>
      <c r="K27">
        <v>37.57</v>
      </c>
    </row>
    <row r="28" spans="1:11" x14ac:dyDescent="0.25">
      <c r="A28" s="1">
        <v>6</v>
      </c>
      <c r="B28" s="1">
        <v>15.49</v>
      </c>
      <c r="C28" s="1">
        <v>17.190000000000001</v>
      </c>
      <c r="D28" s="1">
        <v>21.28</v>
      </c>
      <c r="E28" s="1">
        <v>25.93</v>
      </c>
      <c r="F28" s="1"/>
      <c r="G28" s="1"/>
      <c r="H28">
        <v>6</v>
      </c>
      <c r="I28">
        <v>59.93</v>
      </c>
      <c r="J28">
        <v>47.45</v>
      </c>
      <c r="K28">
        <v>36.76</v>
      </c>
    </row>
    <row r="29" spans="1:11" x14ac:dyDescent="0.25">
      <c r="A29" s="1">
        <v>8</v>
      </c>
      <c r="B29" s="1">
        <v>16.97</v>
      </c>
      <c r="C29" s="1">
        <v>18.62</v>
      </c>
      <c r="D29" s="1">
        <v>22.69</v>
      </c>
      <c r="E29" s="1">
        <v>27.34</v>
      </c>
      <c r="F29" s="1"/>
      <c r="G29" s="1"/>
      <c r="H29">
        <v>8</v>
      </c>
      <c r="I29">
        <v>49.29</v>
      </c>
      <c r="J29">
        <v>42.9</v>
      </c>
      <c r="K29">
        <v>35.119999999999997</v>
      </c>
    </row>
    <row r="30" spans="1:11" x14ac:dyDescent="0.25">
      <c r="A30" s="1">
        <v>10</v>
      </c>
      <c r="B30" s="1">
        <v>18.68</v>
      </c>
      <c r="C30" s="1">
        <v>20.25</v>
      </c>
      <c r="D30" s="1">
        <v>24.22</v>
      </c>
      <c r="E30" s="1">
        <v>28.84</v>
      </c>
      <c r="F30" s="1"/>
      <c r="G30" s="1"/>
      <c r="H30">
        <v>10</v>
      </c>
      <c r="I30">
        <v>40.75</v>
      </c>
      <c r="J30">
        <v>37.72</v>
      </c>
      <c r="K30">
        <v>32.700000000000003</v>
      </c>
    </row>
    <row r="31" spans="1:11" x14ac:dyDescent="0.25">
      <c r="A31" s="1">
        <v>12</v>
      </c>
      <c r="B31" s="1">
        <v>20.48</v>
      </c>
      <c r="C31" s="1">
        <v>22.01</v>
      </c>
      <c r="D31" s="1">
        <v>25.86</v>
      </c>
      <c r="E31" s="1">
        <v>30.42</v>
      </c>
      <c r="F31" s="1"/>
      <c r="G31" s="1"/>
      <c r="H31">
        <v>12</v>
      </c>
      <c r="I31">
        <v>34.409999999999997</v>
      </c>
      <c r="J31">
        <v>32.94</v>
      </c>
      <c r="K31">
        <v>29.91</v>
      </c>
    </row>
    <row r="32" spans="1:11" x14ac:dyDescent="0.25">
      <c r="A32" s="1"/>
      <c r="B32" s="1"/>
      <c r="C32" s="1"/>
      <c r="D32" s="1"/>
      <c r="E32" s="1"/>
      <c r="F32" s="1"/>
      <c r="G32" s="1"/>
    </row>
    <row r="33" spans="1:11" x14ac:dyDescent="0.25">
      <c r="A33" s="1" t="s">
        <v>114</v>
      </c>
      <c r="B33" s="1" t="s">
        <v>115</v>
      </c>
      <c r="C33" s="1" t="s">
        <v>116</v>
      </c>
      <c r="D33" s="1" t="s">
        <v>115</v>
      </c>
      <c r="E33" s="1" t="s">
        <v>132</v>
      </c>
      <c r="F33" s="1" t="s">
        <v>133</v>
      </c>
      <c r="G33" s="1"/>
      <c r="H33" t="s">
        <v>229</v>
      </c>
      <c r="K33" t="s">
        <v>230</v>
      </c>
    </row>
    <row r="34" spans="1:11" x14ac:dyDescent="0.25">
      <c r="A34" s="1" t="s">
        <v>119</v>
      </c>
      <c r="B34" s="1" t="s">
        <v>120</v>
      </c>
      <c r="C34" s="1" t="s">
        <v>121</v>
      </c>
      <c r="D34" s="1" t="s">
        <v>122</v>
      </c>
      <c r="E34" s="1" t="s">
        <v>123</v>
      </c>
      <c r="F34" s="1" t="s">
        <v>124</v>
      </c>
      <c r="G34" s="1">
        <v>-2016</v>
      </c>
      <c r="H34" s="366" t="s">
        <v>228</v>
      </c>
      <c r="I34" s="366"/>
      <c r="J34" s="366"/>
      <c r="K34" s="366"/>
    </row>
    <row r="35" spans="1:11" x14ac:dyDescent="0.25">
      <c r="A35" s="1" t="s">
        <v>125</v>
      </c>
      <c r="B35" s="1" t="s">
        <v>126</v>
      </c>
      <c r="C35" s="1" t="s">
        <v>127</v>
      </c>
      <c r="D35" s="1" t="s">
        <v>128</v>
      </c>
      <c r="E35" s="1" t="s">
        <v>129</v>
      </c>
      <c r="G35" s="1"/>
      <c r="H35" s="1" t="s">
        <v>125</v>
      </c>
      <c r="I35" s="1" t="s">
        <v>127</v>
      </c>
      <c r="J35" s="1" t="s">
        <v>128</v>
      </c>
      <c r="K35" s="1" t="s">
        <v>129</v>
      </c>
    </row>
    <row r="36" spans="1:11" x14ac:dyDescent="0.25">
      <c r="A36" s="1">
        <v>2</v>
      </c>
      <c r="B36" s="1">
        <v>9.5</v>
      </c>
      <c r="C36" s="1">
        <v>10.83</v>
      </c>
      <c r="D36" s="1">
        <v>14.2</v>
      </c>
      <c r="E36" s="1">
        <v>18.13</v>
      </c>
      <c r="F36" s="1"/>
      <c r="G36" s="1"/>
      <c r="H36">
        <v>2</v>
      </c>
      <c r="I36">
        <v>63.81</v>
      </c>
      <c r="J36">
        <v>46.88</v>
      </c>
      <c r="K36">
        <v>35.65</v>
      </c>
    </row>
    <row r="37" spans="1:11" x14ac:dyDescent="0.25">
      <c r="A37" s="1">
        <v>4</v>
      </c>
      <c r="B37" s="1">
        <v>10.29</v>
      </c>
      <c r="C37" s="1">
        <v>11.68</v>
      </c>
      <c r="D37" s="1">
        <v>15.12</v>
      </c>
      <c r="E37" s="1">
        <v>19.09</v>
      </c>
      <c r="F37" s="1"/>
      <c r="G37" s="1"/>
      <c r="H37">
        <v>4</v>
      </c>
      <c r="I37">
        <v>62.14</v>
      </c>
      <c r="J37">
        <v>46.26</v>
      </c>
      <c r="K37">
        <v>35.380000000000003</v>
      </c>
    </row>
    <row r="38" spans="1:11" x14ac:dyDescent="0.25">
      <c r="A38" s="1">
        <v>6</v>
      </c>
      <c r="B38" s="1">
        <v>10.98</v>
      </c>
      <c r="C38" s="1">
        <v>12.47</v>
      </c>
      <c r="D38" s="1">
        <v>16.02</v>
      </c>
      <c r="E38" s="1">
        <v>20.04</v>
      </c>
      <c r="F38" s="1"/>
      <c r="G38" s="1"/>
      <c r="H38">
        <v>6</v>
      </c>
      <c r="I38">
        <v>58.56</v>
      </c>
      <c r="J38">
        <v>44.97</v>
      </c>
      <c r="K38">
        <v>34.86</v>
      </c>
    </row>
    <row r="39" spans="1:11" x14ac:dyDescent="0.25">
      <c r="A39" s="1">
        <v>8</v>
      </c>
      <c r="B39" s="1">
        <v>11.69</v>
      </c>
      <c r="C39" s="1">
        <v>13.24</v>
      </c>
      <c r="D39" s="1">
        <v>16.91</v>
      </c>
      <c r="E39" s="1">
        <v>21</v>
      </c>
      <c r="F39" s="1"/>
      <c r="G39" s="1"/>
      <c r="H39">
        <v>8</v>
      </c>
      <c r="I39">
        <v>53.37</v>
      </c>
      <c r="J39">
        <v>42.88</v>
      </c>
      <c r="K39">
        <v>34.01</v>
      </c>
    </row>
    <row r="40" spans="1:11" x14ac:dyDescent="0.25">
      <c r="A40" s="1">
        <v>10</v>
      </c>
      <c r="B40" s="1">
        <v>12.52</v>
      </c>
      <c r="C40" s="1">
        <v>14.07</v>
      </c>
      <c r="D40" s="1">
        <v>17.809999999999999</v>
      </c>
      <c r="E40" s="1">
        <v>21.96</v>
      </c>
      <c r="F40" s="1"/>
      <c r="G40" s="1"/>
      <c r="H40">
        <v>10</v>
      </c>
      <c r="I40">
        <v>47.66</v>
      </c>
      <c r="J40">
        <v>40.17</v>
      </c>
      <c r="K40">
        <v>32.799999999999997</v>
      </c>
    </row>
    <row r="41" spans="1:11" x14ac:dyDescent="0.25">
      <c r="A41" s="1">
        <v>12</v>
      </c>
      <c r="B41" s="1">
        <v>13.48</v>
      </c>
      <c r="C41" s="1">
        <v>14.98</v>
      </c>
      <c r="D41" s="1">
        <v>18.739999999999998</v>
      </c>
      <c r="E41" s="1">
        <v>22.94</v>
      </c>
      <c r="F41" s="1"/>
      <c r="G41" s="1"/>
      <c r="H41">
        <v>12</v>
      </c>
      <c r="I41">
        <v>42.28</v>
      </c>
      <c r="J41">
        <v>37.159999999999997</v>
      </c>
      <c r="K41">
        <v>31.31</v>
      </c>
    </row>
    <row r="42" spans="1:11" x14ac:dyDescent="0.25">
      <c r="A42" s="1"/>
      <c r="B42" s="1"/>
      <c r="C42" s="1"/>
      <c r="D42" s="1"/>
      <c r="E42" s="1"/>
      <c r="F42" s="1"/>
      <c r="G42" s="1"/>
    </row>
    <row r="43" spans="1:11" x14ac:dyDescent="0.25">
      <c r="A43" s="1" t="s">
        <v>114</v>
      </c>
      <c r="B43" s="1" t="s">
        <v>115</v>
      </c>
      <c r="C43" s="1" t="s">
        <v>116</v>
      </c>
      <c r="D43" s="1" t="s">
        <v>115</v>
      </c>
      <c r="E43" s="1" t="s">
        <v>134</v>
      </c>
      <c r="F43" s="1" t="s">
        <v>133</v>
      </c>
      <c r="G43" s="1"/>
      <c r="H43" t="s">
        <v>229</v>
      </c>
      <c r="K43" t="s">
        <v>231</v>
      </c>
    </row>
    <row r="44" spans="1:11" x14ac:dyDescent="0.25">
      <c r="A44" s="1" t="s">
        <v>119</v>
      </c>
      <c r="B44" s="1" t="s">
        <v>120</v>
      </c>
      <c r="C44" s="1" t="s">
        <v>121</v>
      </c>
      <c r="D44" s="1" t="s">
        <v>122</v>
      </c>
      <c r="E44" s="1" t="s">
        <v>123</v>
      </c>
      <c r="F44" s="1" t="s">
        <v>124</v>
      </c>
      <c r="G44" s="1">
        <v>-2016</v>
      </c>
      <c r="H44" s="366" t="s">
        <v>228</v>
      </c>
      <c r="I44" s="366"/>
      <c r="J44" s="366"/>
      <c r="K44" s="366"/>
    </row>
    <row r="45" spans="1:11" x14ac:dyDescent="0.25">
      <c r="A45" s="1" t="s">
        <v>125</v>
      </c>
      <c r="B45" s="1" t="s">
        <v>126</v>
      </c>
      <c r="C45" s="1" t="s">
        <v>127</v>
      </c>
      <c r="D45" s="1" t="s">
        <v>128</v>
      </c>
      <c r="E45" s="1" t="s">
        <v>129</v>
      </c>
      <c r="G45" s="1"/>
      <c r="H45" s="1" t="s">
        <v>125</v>
      </c>
      <c r="I45" s="1" t="s">
        <v>127</v>
      </c>
      <c r="J45" s="1" t="s">
        <v>128</v>
      </c>
      <c r="K45" s="1" t="s">
        <v>129</v>
      </c>
    </row>
    <row r="46" spans="1:11" x14ac:dyDescent="0.25">
      <c r="A46" s="1">
        <v>2</v>
      </c>
      <c r="B46" s="1">
        <v>6.96</v>
      </c>
      <c r="C46" s="1">
        <v>7.77</v>
      </c>
      <c r="D46" s="1">
        <v>9.76</v>
      </c>
      <c r="E46" s="1">
        <v>12.14</v>
      </c>
      <c r="F46" s="1"/>
      <c r="G46" s="1"/>
      <c r="H46">
        <v>2</v>
      </c>
      <c r="I46">
        <v>69.239999999999995</v>
      </c>
      <c r="J46">
        <v>54.69</v>
      </c>
      <c r="K46">
        <v>42.48</v>
      </c>
    </row>
    <row r="47" spans="1:11" x14ac:dyDescent="0.25">
      <c r="A47" s="1">
        <v>4</v>
      </c>
      <c r="B47" s="1">
        <v>7.77</v>
      </c>
      <c r="C47" s="1">
        <v>8.61</v>
      </c>
      <c r="D47" s="1">
        <v>10.66</v>
      </c>
      <c r="E47" s="1">
        <v>13.08</v>
      </c>
      <c r="F47" s="1"/>
      <c r="G47" s="1"/>
      <c r="H47">
        <v>4</v>
      </c>
      <c r="I47">
        <v>67.16</v>
      </c>
      <c r="J47">
        <v>53.77</v>
      </c>
      <c r="K47">
        <v>42.09</v>
      </c>
    </row>
    <row r="48" spans="1:11" x14ac:dyDescent="0.25">
      <c r="A48" s="1">
        <v>6</v>
      </c>
      <c r="B48" s="1">
        <v>8.5</v>
      </c>
      <c r="C48" s="1">
        <v>9.39</v>
      </c>
      <c r="D48" s="1">
        <v>11.53</v>
      </c>
      <c r="E48" s="1">
        <v>14</v>
      </c>
      <c r="F48" s="1"/>
      <c r="G48" s="1"/>
      <c r="H48">
        <v>6</v>
      </c>
      <c r="I48">
        <v>62.54</v>
      </c>
      <c r="J48">
        <v>51.68</v>
      </c>
      <c r="K48">
        <v>41.23</v>
      </c>
    </row>
    <row r="49" spans="1:11" x14ac:dyDescent="0.25">
      <c r="A49" s="1">
        <v>8</v>
      </c>
      <c r="B49" s="1">
        <v>9.2799999999999994</v>
      </c>
      <c r="C49" s="1">
        <v>10.19</v>
      </c>
      <c r="D49" s="1">
        <v>12.4</v>
      </c>
      <c r="E49" s="1">
        <v>14.92</v>
      </c>
      <c r="F49" s="1"/>
      <c r="G49" s="1"/>
      <c r="H49">
        <v>8</v>
      </c>
      <c r="I49">
        <v>56.11</v>
      </c>
      <c r="J49">
        <v>48.37</v>
      </c>
      <c r="K49">
        <v>39.770000000000003</v>
      </c>
    </row>
    <row r="50" spans="1:11" x14ac:dyDescent="0.25">
      <c r="A50" s="1">
        <v>10</v>
      </c>
      <c r="B50" s="1">
        <v>10.19</v>
      </c>
      <c r="C50" s="1">
        <v>11.08</v>
      </c>
      <c r="D50" s="1">
        <v>13.31</v>
      </c>
      <c r="E50" s="1">
        <v>15.86</v>
      </c>
      <c r="F50" s="1"/>
      <c r="G50" s="1"/>
      <c r="H50">
        <v>10</v>
      </c>
      <c r="I50">
        <v>49.39</v>
      </c>
      <c r="J50">
        <v>44.32</v>
      </c>
      <c r="K50">
        <v>37.75</v>
      </c>
    </row>
    <row r="51" spans="1:11" x14ac:dyDescent="0.25">
      <c r="A51" s="1">
        <v>12</v>
      </c>
      <c r="B51" s="1">
        <v>11.21</v>
      </c>
      <c r="C51" s="1">
        <v>12.07</v>
      </c>
      <c r="D51" s="1">
        <v>14.27</v>
      </c>
      <c r="E51" s="1">
        <v>16.829999999999998</v>
      </c>
      <c r="F51" s="1"/>
      <c r="G51" s="1"/>
      <c r="H51">
        <v>12</v>
      </c>
      <c r="I51">
        <v>43.34</v>
      </c>
      <c r="J51">
        <v>40.14</v>
      </c>
      <c r="K51">
        <v>35.369999999999997</v>
      </c>
    </row>
    <row r="52" spans="1:11" x14ac:dyDescent="0.25">
      <c r="A52" s="1"/>
      <c r="B52" s="1"/>
      <c r="C52" s="1"/>
      <c r="D52" s="1"/>
      <c r="E52" s="1"/>
      <c r="F52" s="1"/>
      <c r="G52" s="1"/>
    </row>
    <row r="53" spans="1:11" x14ac:dyDescent="0.25">
      <c r="A53" s="1" t="s">
        <v>114</v>
      </c>
      <c r="B53" s="1" t="s">
        <v>115</v>
      </c>
      <c r="C53" s="1" t="s">
        <v>135</v>
      </c>
      <c r="D53" s="1" t="s">
        <v>136</v>
      </c>
      <c r="E53" s="1"/>
      <c r="F53" s="1"/>
      <c r="G53" s="1"/>
      <c r="H53" t="s">
        <v>229</v>
      </c>
      <c r="K53" t="s">
        <v>232</v>
      </c>
    </row>
    <row r="54" spans="1:11" x14ac:dyDescent="0.25">
      <c r="A54" s="1" t="s">
        <v>119</v>
      </c>
      <c r="B54" s="1" t="s">
        <v>120</v>
      </c>
      <c r="C54" s="1" t="s">
        <v>121</v>
      </c>
      <c r="D54" s="1" t="s">
        <v>122</v>
      </c>
      <c r="E54" s="1" t="s">
        <v>123</v>
      </c>
      <c r="F54" s="1" t="s">
        <v>124</v>
      </c>
      <c r="G54" s="1">
        <v>-2016</v>
      </c>
      <c r="H54" s="366" t="s">
        <v>228</v>
      </c>
      <c r="I54" s="366"/>
      <c r="J54" s="366"/>
      <c r="K54" s="366"/>
    </row>
    <row r="55" spans="1:11" x14ac:dyDescent="0.25">
      <c r="A55" s="1" t="s">
        <v>125</v>
      </c>
      <c r="B55" s="1" t="s">
        <v>126</v>
      </c>
      <c r="C55" s="1" t="s">
        <v>127</v>
      </c>
      <c r="D55" s="1" t="s">
        <v>128</v>
      </c>
      <c r="E55" s="1" t="s">
        <v>129</v>
      </c>
      <c r="G55" s="1"/>
      <c r="H55" s="1" t="s">
        <v>125</v>
      </c>
      <c r="I55" s="1" t="s">
        <v>127</v>
      </c>
      <c r="J55" s="1" t="s">
        <v>128</v>
      </c>
      <c r="K55" s="1" t="s">
        <v>129</v>
      </c>
    </row>
    <row r="56" spans="1:11" x14ac:dyDescent="0.25">
      <c r="A56" s="1">
        <v>2</v>
      </c>
      <c r="B56" s="1">
        <v>11.98</v>
      </c>
      <c r="C56" s="1">
        <v>13.34</v>
      </c>
      <c r="D56" s="1">
        <v>16.559999999999999</v>
      </c>
      <c r="E56" s="1">
        <v>20.350000000000001</v>
      </c>
      <c r="F56" s="1"/>
      <c r="G56" s="1"/>
      <c r="H56">
        <v>2</v>
      </c>
      <c r="I56">
        <v>80.14</v>
      </c>
      <c r="J56">
        <v>62.78</v>
      </c>
      <c r="K56">
        <v>47.79</v>
      </c>
    </row>
    <row r="57" spans="1:11" x14ac:dyDescent="0.25">
      <c r="A57" s="1">
        <v>4</v>
      </c>
      <c r="B57" s="1">
        <v>12.51</v>
      </c>
      <c r="C57" s="1">
        <v>13.9</v>
      </c>
      <c r="D57" s="1">
        <v>17.18</v>
      </c>
      <c r="E57" s="1">
        <v>21.01</v>
      </c>
      <c r="F57" s="1"/>
      <c r="G57" s="1"/>
      <c r="H57">
        <v>4</v>
      </c>
      <c r="I57">
        <v>78.61</v>
      </c>
      <c r="J57">
        <v>62.12</v>
      </c>
      <c r="K57">
        <v>47.52</v>
      </c>
    </row>
    <row r="58" spans="1:11" x14ac:dyDescent="0.25">
      <c r="A58" s="1">
        <v>6</v>
      </c>
      <c r="B58" s="1">
        <v>13.03</v>
      </c>
      <c r="C58" s="1">
        <v>14.46</v>
      </c>
      <c r="D58" s="1">
        <v>17.850000000000001</v>
      </c>
      <c r="E58" s="1">
        <v>21.74</v>
      </c>
      <c r="F58" s="1"/>
      <c r="G58" s="1"/>
      <c r="H58">
        <v>6</v>
      </c>
      <c r="I58">
        <v>74.44</v>
      </c>
      <c r="J58">
        <v>60.45</v>
      </c>
      <c r="K58">
        <v>46.94</v>
      </c>
    </row>
    <row r="59" spans="1:11" x14ac:dyDescent="0.25">
      <c r="A59" s="1">
        <v>8</v>
      </c>
      <c r="B59" s="1">
        <v>13.64</v>
      </c>
      <c r="C59" s="1">
        <v>15.09</v>
      </c>
      <c r="D59" s="1">
        <v>18.59</v>
      </c>
      <c r="E59" s="1">
        <v>22.55</v>
      </c>
      <c r="F59" s="1"/>
      <c r="G59" s="1"/>
      <c r="H59">
        <v>8</v>
      </c>
      <c r="I59">
        <v>67.63</v>
      </c>
      <c r="J59">
        <v>57.38</v>
      </c>
      <c r="K59">
        <v>45.82</v>
      </c>
    </row>
    <row r="60" spans="1:11" x14ac:dyDescent="0.25">
      <c r="A60" s="1">
        <v>10</v>
      </c>
      <c r="B60" s="1">
        <v>14.45</v>
      </c>
      <c r="C60" s="1">
        <v>15.88</v>
      </c>
      <c r="D60" s="1">
        <v>19.43</v>
      </c>
      <c r="E60" s="1">
        <v>23.47</v>
      </c>
      <c r="F60" s="1"/>
      <c r="G60" s="1"/>
      <c r="H60">
        <v>10</v>
      </c>
      <c r="I60">
        <v>59.82</v>
      </c>
      <c r="J60">
        <v>53.14</v>
      </c>
      <c r="K60">
        <v>44.07</v>
      </c>
    </row>
    <row r="61" spans="1:11" x14ac:dyDescent="0.25">
      <c r="A61" s="1">
        <v>12</v>
      </c>
      <c r="B61" s="1">
        <v>15.48</v>
      </c>
      <c r="C61" s="1">
        <v>16.88</v>
      </c>
      <c r="D61" s="1">
        <v>20.43</v>
      </c>
      <c r="E61" s="1">
        <v>24.51</v>
      </c>
      <c r="F61" s="1"/>
      <c r="G61" s="1"/>
      <c r="H61">
        <v>12</v>
      </c>
      <c r="I61">
        <v>52.5</v>
      </c>
      <c r="J61">
        <v>48.4</v>
      </c>
      <c r="K61">
        <v>41.77</v>
      </c>
    </row>
    <row r="62" spans="1:11" x14ac:dyDescent="0.25">
      <c r="A62" s="1"/>
      <c r="B62" s="1"/>
      <c r="C62" s="1"/>
      <c r="D62" s="1"/>
      <c r="E62" s="1"/>
      <c r="F62" s="1"/>
      <c r="G62" s="1"/>
    </row>
    <row r="63" spans="1:11" x14ac:dyDescent="0.25">
      <c r="A63" s="1" t="s">
        <v>114</v>
      </c>
      <c r="B63" s="1" t="s">
        <v>115</v>
      </c>
      <c r="C63" s="1" t="s">
        <v>137</v>
      </c>
      <c r="D63" s="1" t="s">
        <v>138</v>
      </c>
      <c r="E63" s="1" t="s">
        <v>139</v>
      </c>
      <c r="F63" s="1" t="s">
        <v>140</v>
      </c>
      <c r="G63" s="1"/>
      <c r="H63" t="s">
        <v>229</v>
      </c>
      <c r="K63" t="s">
        <v>233</v>
      </c>
    </row>
    <row r="64" spans="1:11" x14ac:dyDescent="0.25">
      <c r="A64" s="1" t="s">
        <v>119</v>
      </c>
      <c r="B64" s="1" t="s">
        <v>120</v>
      </c>
      <c r="C64" s="1" t="s">
        <v>121</v>
      </c>
      <c r="D64" s="1" t="s">
        <v>122</v>
      </c>
      <c r="E64" s="1" t="s">
        <v>123</v>
      </c>
      <c r="F64" s="1" t="s">
        <v>124</v>
      </c>
      <c r="G64" s="1">
        <v>-2016</v>
      </c>
      <c r="H64" s="366" t="s">
        <v>228</v>
      </c>
      <c r="I64" s="366"/>
      <c r="J64" s="366"/>
      <c r="K64" s="366"/>
    </row>
    <row r="65" spans="1:11" x14ac:dyDescent="0.25">
      <c r="A65" s="1" t="s">
        <v>125</v>
      </c>
      <c r="B65" s="1" t="s">
        <v>126</v>
      </c>
      <c r="C65" s="1" t="s">
        <v>127</v>
      </c>
      <c r="D65" s="1" t="s">
        <v>128</v>
      </c>
      <c r="E65" s="1" t="s">
        <v>129</v>
      </c>
      <c r="G65" s="1"/>
      <c r="H65" s="1" t="s">
        <v>125</v>
      </c>
      <c r="I65" s="1" t="s">
        <v>127</v>
      </c>
      <c r="J65" s="1" t="s">
        <v>128</v>
      </c>
      <c r="K65" s="1" t="s">
        <v>129</v>
      </c>
    </row>
    <row r="66" spans="1:11" x14ac:dyDescent="0.25">
      <c r="A66" s="1">
        <v>2</v>
      </c>
      <c r="B66" s="1">
        <v>3.96</v>
      </c>
      <c r="C66" s="1">
        <v>4.13</v>
      </c>
      <c r="D66" s="1">
        <v>4.58</v>
      </c>
      <c r="E66" s="1">
        <v>5.2</v>
      </c>
      <c r="F66" s="1"/>
      <c r="G66" s="1"/>
      <c r="H66">
        <v>2</v>
      </c>
      <c r="I66">
        <v>84.34</v>
      </c>
      <c r="J66">
        <v>66.72</v>
      </c>
      <c r="K66">
        <v>51.76</v>
      </c>
    </row>
    <row r="67" spans="1:11" x14ac:dyDescent="0.25">
      <c r="A67" s="1">
        <v>4</v>
      </c>
      <c r="B67" s="1">
        <v>4.18</v>
      </c>
      <c r="C67" s="1">
        <v>4.3499999999999996</v>
      </c>
      <c r="D67" s="1">
        <v>4.8099999999999996</v>
      </c>
      <c r="E67" s="1">
        <v>5.42</v>
      </c>
      <c r="F67" s="1"/>
      <c r="G67" s="1"/>
      <c r="H67">
        <v>4</v>
      </c>
      <c r="I67">
        <v>82.45</v>
      </c>
      <c r="J67">
        <v>65.94</v>
      </c>
      <c r="K67">
        <v>51.46</v>
      </c>
    </row>
    <row r="68" spans="1:11" x14ac:dyDescent="0.25">
      <c r="A68" s="1">
        <v>6</v>
      </c>
      <c r="B68" s="1">
        <v>4.46</v>
      </c>
      <c r="C68" s="1">
        <v>4.6500000000000004</v>
      </c>
      <c r="D68" s="1">
        <v>5.1100000000000003</v>
      </c>
      <c r="E68" s="1">
        <v>5.72</v>
      </c>
      <c r="F68" s="1"/>
      <c r="G68" s="1"/>
      <c r="H68">
        <v>6</v>
      </c>
      <c r="I68">
        <v>78.040000000000006</v>
      </c>
      <c r="J68">
        <v>64.08</v>
      </c>
      <c r="K68">
        <v>50.76</v>
      </c>
    </row>
    <row r="69" spans="1:11" x14ac:dyDescent="0.25">
      <c r="A69" s="1">
        <v>8</v>
      </c>
      <c r="B69" s="1">
        <v>4.8600000000000003</v>
      </c>
      <c r="C69" s="1">
        <v>5.0599999999999996</v>
      </c>
      <c r="D69" s="1">
        <v>5.53</v>
      </c>
      <c r="E69" s="1">
        <v>6.13</v>
      </c>
      <c r="F69" s="1"/>
      <c r="G69" s="1"/>
      <c r="H69">
        <v>8</v>
      </c>
      <c r="I69">
        <v>71.39</v>
      </c>
      <c r="J69">
        <v>60.9</v>
      </c>
      <c r="K69">
        <v>49.48</v>
      </c>
    </row>
    <row r="70" spans="1:11" x14ac:dyDescent="0.25">
      <c r="A70" s="1">
        <v>10</v>
      </c>
      <c r="B70" s="1">
        <v>5.43</v>
      </c>
      <c r="C70" s="1">
        <v>5.63</v>
      </c>
      <c r="D70" s="1">
        <v>6.09</v>
      </c>
      <c r="E70" s="1">
        <v>6.67</v>
      </c>
      <c r="F70" s="1"/>
      <c r="G70" s="1"/>
      <c r="H70">
        <v>10</v>
      </c>
      <c r="I70">
        <v>63.87</v>
      </c>
      <c r="J70">
        <v>56.69</v>
      </c>
      <c r="K70">
        <v>47.59</v>
      </c>
    </row>
    <row r="71" spans="1:11" x14ac:dyDescent="0.25">
      <c r="A71" s="1">
        <v>12</v>
      </c>
      <c r="B71" s="1">
        <v>6.07</v>
      </c>
      <c r="C71" s="1">
        <v>6.27</v>
      </c>
      <c r="D71" s="1">
        <v>6.72</v>
      </c>
      <c r="E71" s="1">
        <v>7.27</v>
      </c>
      <c r="F71" s="1"/>
      <c r="G71" s="1"/>
      <c r="H71">
        <v>12</v>
      </c>
      <c r="I71">
        <v>56.69</v>
      </c>
      <c r="J71">
        <v>52.01</v>
      </c>
      <c r="K71">
        <v>45.17</v>
      </c>
    </row>
  </sheetData>
  <mergeCells count="8">
    <mergeCell ref="H54:K54"/>
    <mergeCell ref="H64:K64"/>
    <mergeCell ref="H4:K4"/>
    <mergeCell ref="A4:E4"/>
    <mergeCell ref="H14:K14"/>
    <mergeCell ref="H34:K34"/>
    <mergeCell ref="H24:K24"/>
    <mergeCell ref="H44:K44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13</vt:i4>
      </vt:variant>
      <vt:variant>
        <vt:lpstr>Rangos con nombre</vt:lpstr>
      </vt:variant>
      <vt:variant>
        <vt:i4>10</vt:i4>
      </vt:variant>
    </vt:vector>
  </HeadingPairs>
  <TitlesOfParts>
    <vt:vector size="23" baseType="lpstr">
      <vt:lpstr>LISTA</vt:lpstr>
      <vt:lpstr>PORTADA</vt:lpstr>
      <vt:lpstr>TDPA</vt:lpstr>
      <vt:lpstr>MCI</vt:lpstr>
      <vt:lpstr>I. CIHH</vt:lpstr>
      <vt:lpstr>II. CIOP </vt:lpstr>
      <vt:lpstr>III. CIPRO</vt:lpstr>
      <vt:lpstr>IV. CIMA</vt:lpstr>
      <vt:lpstr>V. CIAX</vt:lpstr>
      <vt:lpstr>VI. CIMU</vt:lpstr>
      <vt:lpstr>VII. CIHER</vt:lpstr>
      <vt:lpstr>VIII. CIPEA</vt:lpstr>
      <vt:lpstr>T</vt:lpstr>
      <vt:lpstr>'I. CIHH'!Área_de_impresión</vt:lpstr>
      <vt:lpstr>'II. CIOP '!Área_de_impresión</vt:lpstr>
      <vt:lpstr>'III. CIPRO'!Área_de_impresión</vt:lpstr>
      <vt:lpstr>'IV. CIMA'!Área_de_impresión</vt:lpstr>
      <vt:lpstr>MCI!Área_de_impresión</vt:lpstr>
      <vt:lpstr>PORTADA!Área_de_impresión</vt:lpstr>
      <vt:lpstr>'V. CIAX'!Área_de_impresión</vt:lpstr>
      <vt:lpstr>'VI. CIMU'!Área_de_impresión</vt:lpstr>
      <vt:lpstr>'VII. CIHER'!Área_de_impresión</vt:lpstr>
      <vt:lpstr>'VIII. CIPEA'!Área_de_impresión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PERSONLA</dc:creator>
  <cp:lastModifiedBy>Dr. David Delgado</cp:lastModifiedBy>
  <cp:lastPrinted>2017-05-19T03:28:24Z</cp:lastPrinted>
  <dcterms:created xsi:type="dcterms:W3CDTF">2016-05-20T22:21:08Z</dcterms:created>
  <dcterms:modified xsi:type="dcterms:W3CDTF">2017-11-08T03:46:22Z</dcterms:modified>
</cp:coreProperties>
</file>